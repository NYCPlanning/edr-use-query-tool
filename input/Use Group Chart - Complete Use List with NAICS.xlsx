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yco365-my.sharepoint.com/personal/mcarper_planning_nyc_gov/Documents/"/>
    </mc:Choice>
  </mc:AlternateContent>
  <xr:revisionPtr revIDLastSave="49" documentId="8_{70C64CDC-EABD-49D6-92C4-DEA61709AE65}" xr6:coauthVersionLast="47" xr6:coauthVersionMax="47" xr10:uidLastSave="{0AE4C16F-F448-46F1-BC50-77AA8FF29434}"/>
  <bookViews>
    <workbookView xWindow="-108" yWindow="-108" windowWidth="23256" windowHeight="12456" xr2:uid="{2CF69924-4D7B-49E6-ADFC-15C8E9BB2002}"/>
  </bookViews>
  <sheets>
    <sheet name="Sheet1" sheetId="1" r:id="rId1"/>
  </sheets>
  <definedNames>
    <definedName name="_xlnm._FilterDatabase" localSheetId="0" hidden="1">Sheet1!$D$1:$D$244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4" i="1" l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51" i="1" a="1"/>
  <c r="E220" i="1" a="1"/>
  <c r="E110" i="1" a="1"/>
  <c r="E211" i="1" a="1"/>
  <c r="E83" i="1" a="1"/>
  <c r="E47" i="1" a="1"/>
  <c r="E17" i="1" a="1"/>
  <c r="E207" i="1" a="1"/>
  <c r="E82" i="1" a="1"/>
  <c r="E196" i="1" a="1"/>
  <c r="E115" i="1" a="1"/>
  <c r="E128" i="1" a="1"/>
  <c r="E26" i="1" a="1"/>
  <c r="E13" i="1" a="1"/>
  <c r="E56" i="1" a="1"/>
  <c r="E235" i="1" a="1"/>
  <c r="E167" i="1" a="1"/>
  <c r="E173" i="1" a="1"/>
  <c r="E5" i="1" a="1"/>
  <c r="E61" i="1" a="1"/>
  <c r="E54" i="1" a="1"/>
  <c r="E202" i="1" a="1"/>
  <c r="E108" i="1" a="1"/>
  <c r="E166" i="1" a="1"/>
  <c r="E159" i="1" a="1"/>
  <c r="E201" i="1" a="1"/>
  <c r="E12" i="1" a="1"/>
  <c r="E60" i="1" a="1"/>
  <c r="E7" i="1" a="1"/>
  <c r="E48" i="1" a="1"/>
  <c r="E126" i="1" a="1"/>
  <c r="E191" i="1" a="1"/>
  <c r="E171" i="1" a="1"/>
  <c r="E122" i="1" a="1"/>
  <c r="E53" i="1" a="1"/>
  <c r="E131" i="1" a="1"/>
  <c r="E45" i="1" a="1"/>
  <c r="E11" i="1" a="1"/>
  <c r="E228" i="1" a="1"/>
  <c r="E153" i="1" a="1"/>
  <c r="E197" i="1" a="1"/>
  <c r="E184" i="1" a="1"/>
  <c r="E109" i="1" a="1"/>
  <c r="E9" i="1" a="1"/>
  <c r="E112" i="1" a="1"/>
  <c r="E133" i="1" a="1"/>
  <c r="E189" i="1" a="1"/>
  <c r="E123" i="1" a="1"/>
  <c r="E212" i="1" a="1"/>
  <c r="E130" i="1" a="1"/>
  <c r="E62" i="1" a="1"/>
  <c r="E68" i="1" a="1"/>
  <c r="E15" i="1" a="1"/>
  <c r="E71" i="1" a="1"/>
  <c r="E227" i="1" a="1"/>
  <c r="E240" i="1" a="1"/>
  <c r="E139" i="1" a="1"/>
  <c r="E24" i="1" a="1"/>
  <c r="E224" i="1" a="1"/>
  <c r="E151" i="1" a="1"/>
  <c r="E215" i="1" a="1"/>
  <c r="E218" i="1" a="1"/>
  <c r="E124" i="1" a="1"/>
  <c r="E113" i="1" a="1"/>
  <c r="E111" i="1" a="1"/>
  <c r="E172" i="1" a="1"/>
  <c r="E134" i="1" a="1"/>
  <c r="E102" i="1" a="1"/>
  <c r="E198" i="1" a="1"/>
  <c r="E170" i="1" a="1"/>
  <c r="E243" i="1" a="1"/>
  <c r="E67" i="1" a="1"/>
  <c r="E73" i="1" a="1"/>
  <c r="E181" i="1" a="1"/>
  <c r="E103" i="1" a="1"/>
  <c r="E199" i="1" a="1"/>
  <c r="E81" i="1" a="1"/>
  <c r="E14" i="1" a="1"/>
  <c r="E127" i="1" a="1"/>
  <c r="E46" i="1" a="1"/>
  <c r="E58" i="1" a="1"/>
  <c r="E96" i="1" a="1"/>
  <c r="E95" i="1" a="1"/>
  <c r="E193" i="1" a="1"/>
  <c r="E104" i="1" a="1"/>
  <c r="E16" i="1" a="1"/>
  <c r="E50" i="1" a="1"/>
  <c r="E25" i="1" a="1"/>
  <c r="E97" i="1" a="1"/>
  <c r="E65" i="1" a="1"/>
  <c r="E152" i="1" a="1"/>
  <c r="E221" i="1" a="1"/>
  <c r="E34" i="1" a="1"/>
  <c r="E89" i="1" a="1"/>
  <c r="E174" i="1" a="1"/>
  <c r="E234" i="1" a="1"/>
  <c r="E183" i="1" a="1"/>
  <c r="E213" i="1" a="1"/>
  <c r="E86" i="1" a="1"/>
  <c r="E84" i="1" a="1"/>
  <c r="E182" i="1" a="1"/>
  <c r="E121" i="1" a="1"/>
  <c r="E208" i="1" a="1"/>
  <c r="E76" i="1" a="1"/>
  <c r="E18" i="1" a="1"/>
  <c r="E231" i="1" a="1"/>
  <c r="E129" i="1" a="1"/>
  <c r="E229" i="1" a="1"/>
  <c r="E190" i="1" a="1"/>
  <c r="E168" i="1" a="1"/>
  <c r="E78" i="1" a="1"/>
  <c r="E169" i="1" a="1"/>
  <c r="E23" i="1" a="1"/>
  <c r="E79" i="1" a="1"/>
  <c r="E137" i="1" a="1"/>
  <c r="E106" i="1" a="1"/>
  <c r="E70" i="1" a="1"/>
  <c r="E238" i="1" a="1"/>
  <c r="E6" i="1" a="1"/>
  <c r="E21" i="1" a="1"/>
  <c r="E87" i="1" a="1"/>
  <c r="E20" i="1" a="1"/>
  <c r="E94" i="1" a="1"/>
  <c r="E28" i="1" a="1"/>
  <c r="E233" i="1" a="1"/>
  <c r="E230" i="1" a="1"/>
  <c r="E163" i="1" a="1"/>
  <c r="E29" i="1" a="1"/>
  <c r="E204" i="1" a="1"/>
  <c r="E187" i="1" a="1"/>
  <c r="E205" i="1" a="1"/>
  <c r="E40" i="1" a="1"/>
  <c r="E162" i="1" a="1"/>
  <c r="E114" i="1" a="1"/>
  <c r="E2" i="1" a="1"/>
  <c r="E3" i="1" a="1"/>
  <c r="E59" i="1" a="1"/>
  <c r="E161" i="1" a="1"/>
  <c r="E64" i="1" a="1"/>
  <c r="E165" i="1" a="1"/>
  <c r="E19" i="1" a="1"/>
  <c r="E98" i="1" a="1"/>
  <c r="E31" i="1" a="1"/>
  <c r="E118" i="1" a="1"/>
  <c r="E41" i="1" a="1"/>
  <c r="E176" i="1" a="1"/>
  <c r="E125" i="1" a="1"/>
  <c r="E49" i="1" a="1"/>
  <c r="E192" i="1" a="1"/>
  <c r="E88" i="1" a="1"/>
  <c r="E90" i="1" a="1"/>
  <c r="E66" i="1" a="1"/>
  <c r="E216" i="1" a="1"/>
  <c r="E175" i="1" a="1"/>
  <c r="E85" i="1" a="1"/>
  <c r="E38" i="1" a="1"/>
  <c r="E39" i="1" a="1"/>
  <c r="E179" i="1" a="1"/>
  <c r="E22" i="1" a="1"/>
  <c r="E33" i="1" a="1"/>
  <c r="E44" i="1" a="1"/>
  <c r="E107" i="1" a="1"/>
  <c r="E55" i="1" a="1"/>
  <c r="E99" i="1" a="1"/>
  <c r="E142" i="1" a="1"/>
  <c r="E52" i="1" a="1"/>
  <c r="E132" i="1" a="1"/>
  <c r="E200" i="1" a="1"/>
  <c r="E194" i="1" a="1"/>
  <c r="E69" i="1" a="1"/>
  <c r="E232" i="1" a="1"/>
  <c r="E185" i="1" a="1"/>
  <c r="E244" i="1" a="1"/>
  <c r="E27" i="1" a="1"/>
  <c r="E209" i="1" a="1"/>
  <c r="E75" i="1" a="1"/>
  <c r="E236" i="1" a="1"/>
  <c r="E217" i="1" a="1"/>
  <c r="E206" i="1" a="1"/>
  <c r="E186" i="1" a="1"/>
  <c r="E10" i="1" a="1"/>
  <c r="E57" i="1" a="1"/>
  <c r="E74" i="1" a="1"/>
  <c r="E119" i="1" a="1"/>
  <c r="E77" i="1" a="1"/>
  <c r="E226" i="1" a="1"/>
  <c r="E203" i="1" a="1"/>
  <c r="E120" i="1" a="1"/>
  <c r="E242" i="1" a="1"/>
  <c r="E138" i="1" a="1"/>
  <c r="E223" i="1" a="1"/>
  <c r="E143" i="1" a="1"/>
  <c r="E117" i="1" a="1"/>
  <c r="E154" i="1" a="1"/>
  <c r="E241" i="1" a="1"/>
  <c r="E4" i="1" a="1"/>
  <c r="E37" i="1" a="1"/>
  <c r="E178" i="1" a="1"/>
  <c r="E32" i="1" a="1"/>
  <c r="E158" i="1" a="1"/>
  <c r="E210" i="1" a="1"/>
  <c r="E222" i="1" a="1"/>
  <c r="E219" i="1" a="1"/>
  <c r="E63" i="1" a="1"/>
  <c r="E116" i="1" a="1"/>
  <c r="E188" i="1" a="1"/>
  <c r="E30" i="1" a="1"/>
  <c r="E145" i="1" a="1"/>
  <c r="E177" i="1" a="1"/>
  <c r="E43" i="1" a="1"/>
  <c r="E239" i="1" a="1"/>
  <c r="E180" i="1" a="1"/>
  <c r="E160" i="1" a="1"/>
  <c r="E225" i="1" a="1"/>
  <c r="E8" i="1" a="1"/>
  <c r="E105" i="1" a="1"/>
  <c r="E214" i="1" a="1"/>
  <c r="E42" i="1" a="1"/>
  <c r="E164" i="1" a="1"/>
  <c r="E72" i="1" a="1"/>
  <c r="E195" i="1" a="1"/>
  <c r="E237" i="1" a="1"/>
  <c r="E36" i="1" a="1"/>
  <c r="E35" i="1" a="1"/>
  <c r="E55" i="1" l="1"/>
  <c r="E151" i="1"/>
  <c r="E117" i="1"/>
  <c r="E8" i="1"/>
  <c r="E106" i="1"/>
  <c r="E138" i="1"/>
  <c r="E173" i="1"/>
  <c r="E48" i="1"/>
  <c r="E76" i="1"/>
  <c r="E194" i="1"/>
  <c r="E21" i="1"/>
  <c r="E68" i="1"/>
  <c r="E166" i="1"/>
  <c r="E186" i="1"/>
  <c r="E206" i="1"/>
  <c r="E226" i="1"/>
  <c r="E2" i="1"/>
  <c r="E49" i="1"/>
  <c r="E175" i="1"/>
  <c r="E195" i="1"/>
  <c r="E215" i="1"/>
  <c r="E235" i="1"/>
  <c r="E13" i="1"/>
  <c r="E60" i="1"/>
  <c r="E89" i="1"/>
  <c r="E111" i="1"/>
  <c r="E131" i="1"/>
  <c r="E142" i="1"/>
  <c r="E22" i="1"/>
  <c r="E41" i="1"/>
  <c r="E69" i="1"/>
  <c r="E167" i="1"/>
  <c r="E187" i="1"/>
  <c r="E207" i="1"/>
  <c r="E227" i="1"/>
  <c r="E193" i="1"/>
  <c r="E9" i="1"/>
  <c r="E214" i="1"/>
  <c r="E126" i="1"/>
  <c r="E36" i="1"/>
  <c r="E118" i="1"/>
  <c r="E110" i="1"/>
  <c r="E61" i="1"/>
  <c r="E42" i="1"/>
  <c r="E28" i="1"/>
  <c r="E213" i="1"/>
  <c r="E56" i="1"/>
  <c r="E87" i="1"/>
  <c r="E152" i="1"/>
  <c r="E67" i="1"/>
  <c r="E139" i="1"/>
  <c r="E29" i="1"/>
  <c r="E174" i="1"/>
  <c r="E88" i="1"/>
  <c r="E130" i="1"/>
  <c r="E153" i="1"/>
  <c r="E40" i="1"/>
  <c r="E112" i="1"/>
  <c r="E220" i="1"/>
  <c r="E66" i="1"/>
  <c r="E47" i="1"/>
  <c r="E75" i="1"/>
  <c r="E97" i="1"/>
  <c r="E233" i="1"/>
  <c r="E20" i="1"/>
  <c r="E98" i="1"/>
  <c r="E234" i="1"/>
  <c r="E119" i="1"/>
  <c r="E14" i="1"/>
  <c r="E33" i="1"/>
  <c r="E81" i="1"/>
  <c r="E132" i="1"/>
  <c r="E159" i="1"/>
  <c r="E168" i="1"/>
  <c r="E179" i="1"/>
  <c r="E188" i="1"/>
  <c r="E199" i="1"/>
  <c r="E208" i="1"/>
  <c r="E219" i="1"/>
  <c r="E228" i="1"/>
  <c r="E239" i="1"/>
  <c r="E6" i="1"/>
  <c r="E53" i="1"/>
  <c r="E104" i="1"/>
  <c r="E124" i="1"/>
  <c r="E15" i="1"/>
  <c r="E34" i="1"/>
  <c r="E62" i="1"/>
  <c r="E82" i="1"/>
  <c r="E113" i="1"/>
  <c r="E133" i="1"/>
  <c r="E26" i="1"/>
  <c r="E73" i="1"/>
  <c r="E160" i="1"/>
  <c r="E180" i="1"/>
  <c r="E200" i="1"/>
  <c r="E7" i="1"/>
  <c r="E54" i="1"/>
  <c r="E105" i="1"/>
  <c r="E125" i="1"/>
  <c r="E16" i="1"/>
  <c r="E35" i="1"/>
  <c r="E83" i="1"/>
  <c r="E27" i="1"/>
  <c r="E46" i="1"/>
  <c r="E74" i="1"/>
  <c r="E96" i="1"/>
  <c r="E161" i="1"/>
  <c r="E172" i="1"/>
  <c r="E181" i="1"/>
  <c r="E192" i="1"/>
  <c r="E201" i="1"/>
  <c r="E212" i="1"/>
  <c r="E221" i="1"/>
  <c r="E232" i="1"/>
  <c r="E90" i="1"/>
  <c r="E120" i="1"/>
  <c r="E162" i="1"/>
  <c r="E182" i="1"/>
  <c r="E202" i="1"/>
  <c r="E222" i="1"/>
  <c r="E242" i="1"/>
  <c r="E3" i="1"/>
  <c r="E23" i="1"/>
  <c r="E43" i="1"/>
  <c r="E63" i="1"/>
  <c r="E99" i="1"/>
  <c r="E107" i="1"/>
  <c r="E127" i="1"/>
  <c r="E143" i="1"/>
  <c r="E169" i="1"/>
  <c r="E189" i="1"/>
  <c r="E209" i="1"/>
  <c r="E229" i="1"/>
  <c r="E50" i="1"/>
  <c r="E70" i="1"/>
  <c r="E84" i="1"/>
  <c r="E114" i="1"/>
  <c r="E134" i="1"/>
  <c r="E236" i="1"/>
  <c r="E37" i="1"/>
  <c r="E183" i="1"/>
  <c r="E24" i="1"/>
  <c r="E108" i="1"/>
  <c r="E12" i="1"/>
  <c r="E32" i="1"/>
  <c r="E52" i="1"/>
  <c r="E72" i="1"/>
  <c r="E86" i="1"/>
  <c r="E116" i="1"/>
  <c r="E158" i="1"/>
  <c r="E178" i="1"/>
  <c r="E198" i="1"/>
  <c r="E218" i="1"/>
  <c r="E238" i="1"/>
  <c r="E19" i="1"/>
  <c r="E39" i="1"/>
  <c r="E59" i="1"/>
  <c r="E79" i="1"/>
  <c r="E95" i="1"/>
  <c r="E103" i="1"/>
  <c r="E123" i="1"/>
  <c r="E165" i="1"/>
  <c r="E185" i="1"/>
  <c r="E205" i="1"/>
  <c r="E225" i="1"/>
  <c r="E240" i="1"/>
  <c r="E241" i="1"/>
  <c r="E243" i="1"/>
  <c r="E216" i="1"/>
  <c r="E38" i="1"/>
  <c r="E58" i="1"/>
  <c r="E78" i="1"/>
  <c r="E94" i="1"/>
  <c r="E102" i="1"/>
  <c r="E122" i="1"/>
  <c r="E164" i="1"/>
  <c r="E184" i="1"/>
  <c r="E204" i="1"/>
  <c r="E224" i="1"/>
  <c r="E244" i="1"/>
  <c r="E10" i="1"/>
  <c r="E30" i="1"/>
  <c r="E154" i="1"/>
  <c r="E176" i="1"/>
  <c r="E196" i="1"/>
  <c r="E17" i="1"/>
  <c r="E57" i="1"/>
  <c r="E77" i="1"/>
  <c r="E121" i="1"/>
  <c r="E163" i="1"/>
  <c r="E203" i="1"/>
  <c r="E223" i="1"/>
  <c r="E4" i="1"/>
  <c r="E44" i="1"/>
  <c r="E64" i="1"/>
  <c r="E128" i="1"/>
  <c r="E170" i="1"/>
  <c r="E190" i="1"/>
  <c r="E210" i="1"/>
  <c r="E230" i="1"/>
  <c r="E11" i="1"/>
  <c r="E31" i="1"/>
  <c r="E51" i="1"/>
  <c r="E71" i="1"/>
  <c r="E85" i="1"/>
  <c r="E115" i="1"/>
  <c r="E145" i="1"/>
  <c r="E177" i="1"/>
  <c r="E197" i="1"/>
  <c r="E217" i="1"/>
  <c r="E237" i="1"/>
  <c r="E18" i="1"/>
  <c r="E5" i="1"/>
  <c r="E25" i="1"/>
  <c r="E45" i="1"/>
  <c r="E65" i="1"/>
  <c r="E109" i="1"/>
  <c r="E129" i="1"/>
  <c r="E137" i="1"/>
  <c r="E171" i="1"/>
  <c r="E191" i="1"/>
  <c r="E211" i="1"/>
  <c r="E2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<sst xmlns="http://schemas.openxmlformats.org/spreadsheetml/2006/main" count="6714" uniqueCount="526">
  <si>
    <t>Use Group</t>
  </si>
  <si>
    <t>Use Header</t>
  </si>
  <si>
    <t>Use Name Full</t>
  </si>
  <si>
    <t>Use Name</t>
  </si>
  <si>
    <t>Use NAICS Code</t>
  </si>
  <si>
    <t>NAICS Notes</t>
  </si>
  <si>
    <t>NAICS to subtract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</si>
  <si>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</si>
  <si>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</si>
  <si>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</si>
  <si>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</si>
  <si>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</si>
  <si>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</si>
  <si>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</si>
  <si>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</si>
  <si>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</si>
  <si>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</si>
  <si>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</si>
  <si>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</si>
  <si>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C1</t>
  </si>
  <si>
    <t>C2</t>
  </si>
  <si>
    <t>C3</t>
  </si>
  <si>
    <t>C4</t>
  </si>
  <si>
    <t>C5</t>
  </si>
  <si>
    <t>C6</t>
  </si>
  <si>
    <t>C7</t>
  </si>
  <si>
    <t>C8</t>
  </si>
  <si>
    <t>M1</t>
  </si>
  <si>
    <t>M2</t>
  </si>
  <si>
    <t>M3</t>
  </si>
  <si>
    <t>PRC</t>
  </si>
  <si>
    <t>NAICS_Type</t>
  </si>
  <si>
    <t>I</t>
  </si>
  <si>
    <t>Agriculture</t>
  </si>
  <si>
    <t>Agricultural #uses#, including greenhouses, nurseries or truck gardens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</si>
  <si>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</si>
  <si>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P     U</t>
    </r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</si>
  <si>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P     U</t>
    </r>
  </si>
  <si>
    <t>G</t>
  </si>
  <si>
    <t>Open Uses</t>
  </si>
  <si>
    <t>Cemeteries</t>
  </si>
  <si>
    <t xml:space="preserve">–
</t>
  </si>
  <si>
    <t xml:space="preserve">●
</t>
  </si>
  <si>
    <t xml:space="preserve">N/A
</t>
  </si>
  <si>
    <t>Golf courses</t>
  </si>
  <si>
    <t xml:space="preserve">B3 and N/A
</t>
  </si>
  <si>
    <t>Outdoor racket courts</t>
  </si>
  <si>
    <t>○</t>
  </si>
  <si>
    <t>Outdoor skating rinks</t>
  </si>
  <si>
    <t>#Public parks# or playgrounds or private parks</t>
  </si>
  <si>
    <t>Sand, gravel or clay pits</t>
  </si>
  <si>
    <t>II</t>
  </si>
  <si>
    <t>Residential Uses</t>
  </si>
  <si>
    <t>#Single-family residence# #Detached#</t>
  </si>
  <si>
    <t>*</t>
  </si>
  <si>
    <t>#Single-family residence# Other types</t>
  </si>
  <si>
    <r>
      <t xml:space="preserve">●
</t>
    </r>
    <r>
      <rPr>
        <vertAlign val="subscript"/>
        <sz val="11"/>
        <rFont val="Aptos Narrow"/>
        <family val="2"/>
        <scheme val="minor"/>
      </rPr>
      <t>P</t>
    </r>
  </si>
  <si>
    <t>♦</t>
  </si>
  <si>
    <t>#Two-family residence# #Detached#</t>
  </si>
  <si>
    <t>#Two-family residence# Other types</t>
  </si>
  <si>
    <t>All other types of #residences#, including #apartment hotels# and #affordable independent residences for seniors#</t>
  </si>
  <si>
    <t>III(A)</t>
  </si>
  <si>
    <t>Educational Institutions</t>
  </si>
  <si>
    <t>College or school student dormitories and fraternity or sorority student houses</t>
  </si>
  <si>
    <t>E2</t>
  </si>
  <si>
    <t>Faith-based Institutions and Facilities</t>
  </si>
  <si>
    <t>Monasteries, convents or novitiates</t>
  </si>
  <si>
    <t>Rectories or parish houses with sleeping accommodations</t>
  </si>
  <si>
    <t>Seminaries with sleeping accommodations</t>
  </si>
  <si>
    <t>B2 and G</t>
  </si>
  <si>
    <t>Health Institutions and Facilities</t>
  </si>
  <si>
    <t>#Long-term care facilities#</t>
  </si>
  <si>
    <t>E3</t>
  </si>
  <si>
    <t>#Non-profit hospital staff dwellings#</t>
  </si>
  <si>
    <t>( special req't )</t>
  </si>
  <si>
    <t>Other Institutions and Facilities</t>
  </si>
  <si>
    <t>Community centers or settlement houses with sleeping accommodations</t>
  </si>
  <si>
    <t>B3</t>
  </si>
  <si>
    <t>Non-commercial clubs with sleeping accommodations</t>
  </si>
  <si>
    <t xml:space="preserve">B3
</t>
  </si>
  <si>
    <t>Philanthropic or non-profit institutions with sleeping accommodations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</si>
  <si>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</t>
    </r>
  </si>
  <si>
    <t>III(B)</t>
  </si>
  <si>
    <t>Colleges or universities, including professional schools but excluding business colleges or trade schools</t>
  </si>
  <si>
    <t>B2 or G</t>
  </si>
  <si>
    <t>#Schools#</t>
  </si>
  <si>
    <t>Houses of worship</t>
  </si>
  <si>
    <t>Parish houses without sleeping accommodations</t>
  </si>
  <si>
    <t xml:space="preserve">○
</t>
  </si>
  <si>
    <t>Seminaries without sleeping accommodations</t>
  </si>
  <si>
    <t>Ambulatory diagnostic or treatment health care facilities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</si>
  <si>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P</t>
    </r>
  </si>
  <si>
    <t>A3</t>
  </si>
  <si>
    <t>Non-profit or voluntary hospitals and related facilities, except animal hospitals</t>
  </si>
  <si>
    <t>E1</t>
  </si>
  <si>
    <t>Proprietary hospitals and related facilities, except animal hospitals</t>
  </si>
  <si>
    <t>Community centers or settlement houses without sleeping accommodations</t>
  </si>
  <si>
    <t>Libraries</t>
  </si>
  <si>
    <t>Museums</t>
  </si>
  <si>
    <t>Non-commercial art galleries</t>
  </si>
  <si>
    <t>Non-commercial clubs without sleeping accomodations</t>
  </si>
  <si>
    <t>Non-commercial recreation centers</t>
  </si>
  <si>
    <t>Philanthropic or non-profit institutions without sleeping accommodations, excluding ambulatory diagnostic or treatment health care facilities</t>
  </si>
  <si>
    <t>Welfare centers</t>
  </si>
  <si>
    <t>IV(A)</t>
  </si>
  <si>
    <t>Public Service Buildings</t>
  </si>
  <si>
    <t>Court houses</t>
  </si>
  <si>
    <t>●</t>
  </si>
  <si>
    <t xml:space="preserve">A4
</t>
  </si>
  <si>
    <t>Fire or police stations</t>
  </si>
  <si>
    <t>Other Facilities</t>
  </si>
  <si>
    <t>Prisons</t>
  </si>
  <si>
    <t xml:space="preserve">G
</t>
  </si>
  <si>
    <t>IV(B)</t>
  </si>
  <si>
    <t>Communication Infrastructure</t>
  </si>
  <si>
    <t>Radio or television towers, non-#accessory#</t>
  </si>
  <si>
    <t>Telephone exchanges or other communications equipment structures</t>
  </si>
  <si>
    <t>Electric and Gas Infrastructure</t>
  </si>
  <si>
    <t>Electric power or steam generating plants</t>
  </si>
  <si>
    <t xml:space="preserve">D2
</t>
  </si>
  <si>
    <t>Electric utility substations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</si>
  <si>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U</t>
    </r>
  </si>
  <si>
    <t>Gas utility substations</t>
  </si>
  <si>
    <t>Public utility stations for oil or gas metering or regulating</t>
  </si>
  <si>
    <t>Terminal facilities at river crossings for access to electric, gas, or steam lines</t>
  </si>
  <si>
    <t>Sewage, Storm Water and Waste Infrastructure</t>
  </si>
  <si>
    <t>Composting</t>
  </si>
  <si>
    <t>D2</t>
  </si>
  <si>
    <t xml:space="preserve">Dumps, recycling or material recovery facilities, marine transfer stations for garbage or slag piles </t>
  </si>
  <si>
    <t>Incineration or reduction of garbage, offal or dead animals</t>
  </si>
  <si>
    <t>D1</t>
  </si>
  <si>
    <t>Radioactive waste disposal services involving the handling or storage of radioactive waste</t>
  </si>
  <si>
    <t>Sewage disposal plants</t>
  </si>
  <si>
    <t>Water or sewage pumping stations</t>
  </si>
  <si>
    <t>Transportation Infrastructure</t>
  </si>
  <si>
    <t>Airports</t>
  </si>
  <si>
    <t>Boat launching facilities for non-commercial pleasure boats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</si>
  <si>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U</t>
    </r>
  </si>
  <si>
    <t>Bus stations</t>
  </si>
  <si>
    <t>Docks</t>
  </si>
  <si>
    <t>Freight terminals, yards or appurtenances, or facilities or services used or required in railroad operations, but not including passenger stations</t>
  </si>
  <si>
    <t>Heliports</t>
  </si>
  <si>
    <t>Mooring facilities for non-commercial pleasure boats</t>
  </si>
  <si>
    <t>Public transit or railroad electric substations</t>
  </si>
  <si>
    <t>Public transit yards, including #accessory# motor fuel pumps</t>
  </si>
  <si>
    <t>Railroad or transit rights-of-way</t>
  </si>
  <si>
    <t>Railroad passenger stations</t>
  </si>
  <si>
    <t>Seaplane bases</t>
  </si>
  <si>
    <t>Truck weighing stations</t>
  </si>
  <si>
    <t>IV(C)</t>
  </si>
  <si>
    <t>Renewable Energy and Green Infrastructure</t>
  </si>
  <si>
    <t>#Energy infrastructure equipment#</t>
  </si>
  <si>
    <t>Public bicycle and micromobility parking</t>
  </si>
  <si>
    <t>Recycling, or organic material, receiving</t>
  </si>
  <si>
    <t>V</t>
  </si>
  <si>
    <t>Transient Accommodations</t>
  </si>
  <si>
    <t>#Motels#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</si>
  <si>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P</t>
    </r>
  </si>
  <si>
    <t>F1</t>
  </si>
  <si>
    <t>Overnight camps</t>
  </si>
  <si>
    <t>#Tourist cabins#</t>
  </si>
  <si>
    <t>#Transient hotels#</t>
  </si>
  <si>
    <t>B1 or F2</t>
  </si>
  <si>
    <t>VI Retail</t>
  </si>
  <si>
    <t>Motor Vehicle and Parts Dealer (441)</t>
  </si>
  <si>
    <t>Automobile dealers (4411)</t>
  </si>
  <si>
    <t>–</t>
  </si>
  <si>
    <t>Boat dealers (441222)</t>
  </si>
  <si>
    <t>All other motor vehicle dealers (in 4412)</t>
  </si>
  <si>
    <t>4412 minus 441222</t>
  </si>
  <si>
    <t>Automotive parts, accessories and tire retailers (4413)</t>
  </si>
  <si>
    <t xml:space="preserve">A2
</t>
  </si>
  <si>
    <t>Building Material and Garden Equipment and Supplies Dealer (444)</t>
  </si>
  <si>
    <t>Lumber yards, retail (in 444180)</t>
  </si>
  <si>
    <t>444180 Lumber retailing yards</t>
  </si>
  <si>
    <t xml:space="preserve">A3
</t>
  </si>
  <si>
    <t>All other building material and supplies dealers (in 4441)</t>
  </si>
  <si>
    <t>4441 minus 444180</t>
  </si>
  <si>
    <t>Lawn and garden equipment and supplies retailers (4442)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</si>
  <si>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U</t>
    </r>
  </si>
  <si>
    <t>Food and Beverage Retailers (445)</t>
  </si>
  <si>
    <t>Grocery and convenience retailers (4451)</t>
  </si>
  <si>
    <t xml:space="preserve">A1 or A2
</t>
  </si>
  <si>
    <t>Specialty food retailers (4452)</t>
  </si>
  <si>
    <t>Beer, wine and liquor retailers (4453)</t>
  </si>
  <si>
    <t>Furniture, Home Furnishings, Electronics, and Appliance Retailers (449)</t>
  </si>
  <si>
    <t>Furniture and home furnishing retailers (4491)</t>
  </si>
  <si>
    <t>Electronics and appliance retailers (4492)</t>
  </si>
  <si>
    <t>General Merchandise Retailers (455)</t>
  </si>
  <si>
    <t>Department stores (4551)</t>
  </si>
  <si>
    <t>Warehouse clubs, supercenters, and other general merchandise retailers (4552)</t>
  </si>
  <si>
    <t>Health and Personal Care Retailers (456)</t>
  </si>
  <si>
    <t>Health and personal care retailers (4561)</t>
  </si>
  <si>
    <t>Gasoline Stations and Fuel Dealers (457)</t>
  </si>
  <si>
    <t>Gasoline stations (4571) - #Automotive service stations#</t>
  </si>
  <si>
    <t>N/A</t>
  </si>
  <si>
    <t>Gasoline stations (4571) - Electric vehicle charging and battery swapping</t>
  </si>
  <si>
    <t>Gasoline stations (4571) - Boat fuel sales</t>
  </si>
  <si>
    <t>Fuel dealers (4572)</t>
  </si>
  <si>
    <t>Clothing, Clothing Accessories, Shoe and Jewelry Retailers (458)</t>
  </si>
  <si>
    <t>Clothing and clothing accessories retailers (4581)</t>
  </si>
  <si>
    <t>Shoe retailers (4582)</t>
  </si>
  <si>
    <t>Jewelry, luggage, and leather goods retailers (4583)</t>
  </si>
  <si>
    <t>Sporting Goods, Hobby, Musical Instrument, Book and Miscellaneous Retailers (459)</t>
  </si>
  <si>
    <t>Sporting goods retailers (45911)</t>
  </si>
  <si>
    <t>All other hobby and musical instrument retailers (in 4591)</t>
  </si>
  <si>
    <t>4591 minus 45911</t>
  </si>
  <si>
    <t>Book retailers and news dealers (4592) - Book retailers</t>
  </si>
  <si>
    <t>Book retailers and news dealers (4592) - News dealers</t>
  </si>
  <si>
    <t>Florists (4593)</t>
  </si>
  <si>
    <t>Office supplies, stationary, and gift retailers (4594)</t>
  </si>
  <si>
    <t>Used merchandise retailers (4595)</t>
  </si>
  <si>
    <t>Miscellaneous retailers (4599)</t>
  </si>
  <si>
    <t>VI Services</t>
  </si>
  <si>
    <t>Postal Service (491) / Couriers and Messengers (492)</t>
  </si>
  <si>
    <t>Postal service (4911)</t>
  </si>
  <si>
    <t>Couriers and express delivery services (4921)</t>
  </si>
  <si>
    <t>Local messengers and local delivery (4922)</t>
  </si>
  <si>
    <t>Telecommunications (517)</t>
  </si>
  <si>
    <t>Wired and wireless telecommunications (5171)</t>
  </si>
  <si>
    <t>Computing Infrastructure Providers, Data Processing, Web Hosting, and Related Services (518)</t>
  </si>
  <si>
    <t>Computing infrastructure providers, data processing, web hosting, and related services (5182)</t>
  </si>
  <si>
    <t>Credit Intermediation and Related Activities (522)</t>
  </si>
  <si>
    <t>Savings, loan and other financial services (5221, 5222 and 5223)</t>
  </si>
  <si>
    <t>Securities, Commodity Contracts, and Other Financial Investments and Related Activities (523)</t>
  </si>
  <si>
    <t>Securities, commodity contracts, and other financial investments and related activities (5231, 5232 and 5239)</t>
  </si>
  <si>
    <t>Insurance Carriers and Related Activities (524)</t>
  </si>
  <si>
    <t>Insurance carriers and related activities (5241 and 5242)</t>
  </si>
  <si>
    <t>Funds, Trusts and Other Financial Vehicles (525)</t>
  </si>
  <si>
    <t>Funds, trusts and other financial vehicles (5251 and 5259)</t>
  </si>
  <si>
    <t>Real Estate (531)</t>
  </si>
  <si>
    <t>Real estate (5311, 5312, and 5313)</t>
  </si>
  <si>
    <t>Rental and Leasing Services (532)</t>
  </si>
  <si>
    <t>Automotive equipment rental and leasing (5321)</t>
  </si>
  <si>
    <t>Consumer goods rental (5322) - Consumer electronics and appliances rental (53221)</t>
  </si>
  <si>
    <t>Consumer goods rental (5322) - Recreational goods rental (532284)</t>
  </si>
  <si>
    <t>Consumer goods rental (5322) - All other consumer goods rentals (in 5322)</t>
  </si>
  <si>
    <t>5322 minus 53221, 532284</t>
  </si>
  <si>
    <t>General rental centers (5323)</t>
  </si>
  <si>
    <t>Commercial and industrial machinery and equipment rental and leasing (5324)</t>
  </si>
  <si>
    <t>Professional, Scientific, and Technical Services (541)</t>
  </si>
  <si>
    <t>Veterinary services (54194)</t>
  </si>
  <si>
    <t>All other professional, scientific, and technical services (in 541)</t>
  </si>
  <si>
    <t>541 minus 54194</t>
  </si>
  <si>
    <t>Management of Companies and Enterprises (551)</t>
  </si>
  <si>
    <t>Management of companies and enterprises (5511)</t>
  </si>
  <si>
    <t>Administrative and Support Services (561)</t>
  </si>
  <si>
    <t>Travel and reservation services (5615)</t>
  </si>
  <si>
    <t>Services to buildings and dwellings (5617) - Carpet and upholstery cleaning services (56174)</t>
  </si>
  <si>
    <t xml:space="preserve">D1
</t>
  </si>
  <si>
    <t>Services to buildings and dwellings (5617) - All other services to buildings and dwellings (in 5617)</t>
  </si>
  <si>
    <t>5617 minus 56174</t>
  </si>
  <si>
    <t>All other administrative and support services (in 561)</t>
  </si>
  <si>
    <t>561 minus 5615, 5617</t>
  </si>
  <si>
    <t>Educational Services (611)</t>
  </si>
  <si>
    <t>Business schools and computer and management training (6114)</t>
  </si>
  <si>
    <t>Technical and trade schools (6115)</t>
  </si>
  <si>
    <t>All other schools and instruction (6116 and 6117)</t>
  </si>
  <si>
    <t>Food Services and Drinking Places (722)</t>
  </si>
  <si>
    <t>Special food services (7223)</t>
  </si>
  <si>
    <t>Eating or drinking establishments (7224 and 7225)</t>
  </si>
  <si>
    <t xml:space="preserve">A2 or B1
</t>
  </si>
  <si>
    <t>Repair and Maintenance (811)</t>
  </si>
  <si>
    <t>Automotive repair and maintenance (8111) - #Heavy motor vehicle repair and maintenance shops#</t>
  </si>
  <si>
    <t>A4</t>
  </si>
  <si>
    <t>Automotive repair and maintenance (8111) - #Light motor vehicle repair and maintenance shops#</t>
  </si>
  <si>
    <t>Automotive repair and maintenance (8111) - Car washes (811192)</t>
  </si>
  <si>
    <t>Electronic and precision equipment repair and maintenance (8112)</t>
  </si>
  <si>
    <t>Commercial and industrial machinery and equipment repair and maintenance (8113)</t>
  </si>
  <si>
    <t>Personal and Household Goods Repair and Maintenance (8114) - Bicycle repair</t>
  </si>
  <si>
    <t xml:space="preserve">Personal and Household Goods Repair and Maintenance (8114) - Recreational boat repair </t>
  </si>
  <si>
    <t>Personal and Household Goods Repair and Maintenance (8114) - Home and garden equipment and appliance repair and maintenance (81141)</t>
  </si>
  <si>
    <t>Personal and Household Goods Repair and Maintenance (8114) - All other personal and household goods repair and maintenance (in 8114)</t>
  </si>
  <si>
    <t>Personal and Laundry Services (812)</t>
  </si>
  <si>
    <t>Personal care services (8121) - #Health and fitness establishments#</t>
  </si>
  <si>
    <t>A2</t>
  </si>
  <si>
    <t>Personal care services (8121) - All other personal care services (in 8121)</t>
  </si>
  <si>
    <t>Death care services (8122) - Funeral homes and funeral services (81221)</t>
  </si>
  <si>
    <t>81121 minus Funeral homes combined with crematories</t>
  </si>
  <si>
    <t>Death care services (8122) - Crematoriums</t>
  </si>
  <si>
    <t>Dry cleaning and laundry services (8123) - Personal laundry services</t>
  </si>
  <si>
    <t>Dry cleaning and laundry services (8123) - Personal dry cleaning services</t>
  </si>
  <si>
    <t>Dry cleaning and laundry services (8123) - Industrial dry cleaning and laundry services</t>
  </si>
  <si>
    <t>Pet care services (81291)</t>
  </si>
  <si>
    <t>All other personal services (in 8129)</t>
  </si>
  <si>
    <t>8129 minus 81291</t>
  </si>
  <si>
    <t>VII</t>
  </si>
  <si>
    <t>Laboratories</t>
  </si>
  <si>
    <t>Offices</t>
  </si>
  <si>
    <t>Offices, business, professional including ambulatory diagnostic or treatment health care, or governmental</t>
  </si>
  <si>
    <t>VIII</t>
  </si>
  <si>
    <t>Amusement and Recreation Facilities</t>
  </si>
  <si>
    <t>#Amusement or recreation facilities#</t>
  </si>
  <si>
    <t xml:space="preserve">B1 or C
</t>
  </si>
  <si>
    <t>#Select entertainment facilities#</t>
  </si>
  <si>
    <t>#Outdoor amusement parks#</t>
  </si>
  <si>
    <t>713110</t>
  </si>
  <si>
    <t>C</t>
  </si>
  <si>
    <t>Art Galleries and Studios</t>
  </si>
  <si>
    <t>Art galleries</t>
  </si>
  <si>
    <t>Art, music, dancing or theatrical studios</t>
  </si>
  <si>
    <t>Production or entertainment studios</t>
  </si>
  <si>
    <t xml:space="preserve">B1
</t>
  </si>
  <si>
    <t>Entertainment and Sporting Venues</t>
  </si>
  <si>
    <t>Arenas or auditoriums</t>
  </si>
  <si>
    <t>Drive-in theaters</t>
  </si>
  <si>
    <t>Racetracks</t>
  </si>
  <si>
    <t>B1</t>
  </si>
  <si>
    <t>Stadiums</t>
  </si>
  <si>
    <t>Theaters</t>
  </si>
  <si>
    <r>
      <t xml:space="preserve">●
</t>
    </r>
    <r>
      <rPr>
        <vertAlign val="subscript"/>
        <sz val="11"/>
        <color theme="9" tint="-0.499984740745262"/>
        <rFont val="Aptos Narrow"/>
        <family val="2"/>
        <scheme val="minor"/>
      </rPr>
      <t>P</t>
    </r>
  </si>
  <si>
    <t>Other Assembly Spaces</t>
  </si>
  <si>
    <t>Banquet, function or reception halls</t>
  </si>
  <si>
    <t>Gaming facilities</t>
  </si>
  <si>
    <t>Historical exhibits</t>
  </si>
  <si>
    <t>Meeting halls</t>
  </si>
  <si>
    <t>Non-commercial clubs</t>
  </si>
  <si>
    <t>Observation decks</t>
  </si>
  <si>
    <t>Outdoor day camps</t>
  </si>
  <si>
    <t>Publicly accessible spaces</t>
  </si>
  <si>
    <t>Riding academies or stables</t>
  </si>
  <si>
    <t>Trade expositions</t>
  </si>
  <si>
    <t>IX(A)</t>
  </si>
  <si>
    <t>General Storage</t>
  </si>
  <si>
    <t>Building materials or contractors' yard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</si>
  <si>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U</t>
    </r>
  </si>
  <si>
    <t>Depositories for storage of office records, microfilm or computer tapes, or for data processing</t>
  </si>
  <si>
    <t>Micro-distribution facility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</si>
  <si>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S</t>
    </r>
  </si>
  <si>
    <t>Moving or storage offices</t>
  </si>
  <si>
    <t>#Self-service storage facility#</t>
  </si>
  <si>
    <t>Trucking terminals or motor freight stations</t>
  </si>
  <si>
    <t>Warehouses</t>
  </si>
  <si>
    <t>Wholesale establishments</t>
  </si>
  <si>
    <t xml:space="preserve">A3 or A4
</t>
  </si>
  <si>
    <t>IX(B)</t>
  </si>
  <si>
    <t>Specialized Storage</t>
  </si>
  <si>
    <t>Coal or gas storage</t>
  </si>
  <si>
    <t>Explosives storage, when not prohibited by other ordinances</t>
  </si>
  <si>
    <t>Grain storage</t>
  </si>
  <si>
    <t>Junk or salvage yards, including auto wrecking or similar establishments</t>
  </si>
  <si>
    <t>Lumber yard</t>
  </si>
  <si>
    <t>Manure, peat or topsoil storage</t>
  </si>
  <si>
    <t>Petroleum or petroleum products, storage or handling</t>
  </si>
  <si>
    <t>Refrigerating plants</t>
  </si>
  <si>
    <t>Scrap metal, junk, paper or rags storage, sorting, or baling</t>
  </si>
  <si>
    <t>IX(C)</t>
  </si>
  <si>
    <t>Vehicle Storage</t>
  </si>
  <si>
    <t>Boat storage</t>
  </si>
  <si>
    <t>Commercial or public vehicle storage, including #accessory# motor fuel pumps</t>
  </si>
  <si>
    <t>Dead storage of motor vehicles </t>
  </si>
  <si>
    <t>#Public parking garages# or #public parking lots#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</si>
  <si>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P     U</t>
    </r>
  </si>
  <si>
    <t>X</t>
  </si>
  <si>
    <t>Food Manufacturing (311)</t>
  </si>
  <si>
    <t>Animal food manufacturing (3111)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</si>
  <si>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P</t>
    </r>
  </si>
  <si>
    <t>Sugar and confectionary product manufacturing (3113) - Sugar manufacturing (31131)</t>
  </si>
  <si>
    <t>Sugar and confectionary product manufacturing (3113) - All other sugar and confectionary product manufacturing (in 3113)</t>
  </si>
  <si>
    <t>3113 minus 31131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</si>
  <si>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S     P</t>
    </r>
  </si>
  <si>
    <t>Animal slaughtering and processing (3116)</t>
  </si>
  <si>
    <t>Seafood product preparation and packaging (3117)</t>
  </si>
  <si>
    <t>All other food manufacturing (in 311)</t>
  </si>
  <si>
    <t>311 minus 3116, 3117</t>
  </si>
  <si>
    <t>Beverage and Tobacco Product Manufacturing (312)</t>
  </si>
  <si>
    <t>Beverage manufacturing (3121) - Distilleries (31214)</t>
  </si>
  <si>
    <t>Beverage manufacturing (3121) - All other beverage manufacturing (in 3121)</t>
  </si>
  <si>
    <t>3121 minus 31214</t>
  </si>
  <si>
    <t>Tobacco manufacturing (3122)</t>
  </si>
  <si>
    <t>Textile &amp; Textile Product Mills (313 - 314)</t>
  </si>
  <si>
    <t>Textile mills (313)</t>
  </si>
  <si>
    <t>Textile product mills (314)</t>
  </si>
  <si>
    <t>Apparel Manufacturing (315)</t>
  </si>
  <si>
    <t>Apparel manufacturing (315)</t>
  </si>
  <si>
    <t>Leather and Allied Product Manufacturing (316)</t>
  </si>
  <si>
    <t>Leather and hide tanning and finishing (3161)</t>
  </si>
  <si>
    <t>Footwear manufacturing (3162)</t>
  </si>
  <si>
    <t>Other leather and allied product manufacturing (3169)</t>
  </si>
  <si>
    <t>Wood Product Manufacturing (321)</t>
  </si>
  <si>
    <t>Sawmills and wood preservation (3211)</t>
  </si>
  <si>
    <t>Veneer, plywood, and engineered wood product manufacturing (3212)</t>
  </si>
  <si>
    <t>Other wood product manufacturing (3219)</t>
  </si>
  <si>
    <t>Paper Manufacturing (322)</t>
  </si>
  <si>
    <t>Pulp, paper, and paperboard mills (3221)</t>
  </si>
  <si>
    <t>Converted paper product manufacturing (3222) - Stationary product manufacturing (32223)</t>
  </si>
  <si>
    <t>Converted paper product manufacturing (3222) - All other converted paper product manufacturing (in 3222)</t>
  </si>
  <si>
    <t>3222 minus 32223</t>
  </si>
  <si>
    <t>Printing and Related Support Activities (323)</t>
  </si>
  <si>
    <t>Printing and related support activities (3231)</t>
  </si>
  <si>
    <t>Petroleum and Coal Products Manufacturing (324)</t>
  </si>
  <si>
    <t>Petroleum and coal products manufacturing (3241)</t>
  </si>
  <si>
    <t>Chemical Manufacturing (325)</t>
  </si>
  <si>
    <t>Pharmaceutical and medicine manufacturing (3254)</t>
  </si>
  <si>
    <t>Soap, cleaning compound, and toilet preparation manufacturing (3256) - Soap and other detergent manufacturing (325611)</t>
  </si>
  <si>
    <t>Soap, cleaning compound, and toilet preparation manufacturing (3256) - All other soap, cleaning compound and toilet preparation manufacturing (in 3256)</t>
  </si>
  <si>
    <t>3256 minus 325611</t>
  </si>
  <si>
    <t>All other chemical manufacturing (in 325)</t>
  </si>
  <si>
    <t>325 minus 3254, 3256</t>
  </si>
  <si>
    <t xml:space="preserve">Plastics and Rubber Products Manufacturing (326) </t>
  </si>
  <si>
    <t>Plastics and rubber products manufacturing (326)</t>
  </si>
  <si>
    <t>Nonmetallic Mineral Product Manufacturing (327)</t>
  </si>
  <si>
    <t>Clay product and refractory manufacturing (3271) - Clay building material and refractories manufacturing (32712)</t>
  </si>
  <si>
    <t>Clay product and refractory manufacturing (3271) - All other clay product and refractory manufacturing (in 3271)</t>
  </si>
  <si>
    <t>3271 minus 32712</t>
  </si>
  <si>
    <t>Glass and glass product manufacturing (3272) - Flat glass manufacturing (327211)</t>
  </si>
  <si>
    <t>Glass and glass product manufacturing (3272) - Other pressed and blown glass and glassware manufacturing (327212)</t>
  </si>
  <si>
    <t>Glass and glass product manufacturing (3272) - All other glass and glass product manufacturing (in 3272)</t>
  </si>
  <si>
    <t>3272 minus 327211, 327212</t>
  </si>
  <si>
    <t>All other nonmetallic mineral product manufacturing (in 327)</t>
  </si>
  <si>
    <t>327 minus 3271, 3272</t>
  </si>
  <si>
    <t>Primary Metal Manufacturing and Fabricated Metal Product Manufacturing (331 - 332)</t>
  </si>
  <si>
    <t>Primary metal manufacturing (331)</t>
  </si>
  <si>
    <t>Fabricated metal product manufacturing (332) - Cutlery and handtool manufacturing (3322)</t>
  </si>
  <si>
    <t>Fabricated metal product manufacturing (332) - All other fabricated metal product manufacturing (in 332)</t>
  </si>
  <si>
    <t>332 minus 3322</t>
  </si>
  <si>
    <t>Machinery Manufacturing (333)</t>
  </si>
  <si>
    <t>Agriculture, construction and mining machinery manufacturing (3331)</t>
  </si>
  <si>
    <t>All other machinery manufacturing (in 333)</t>
  </si>
  <si>
    <t>333 minus 3331</t>
  </si>
  <si>
    <t>Computer and Electronic Product Manufacturing (334)</t>
  </si>
  <si>
    <t>Computer and peripheral equipment manufacturing (334)</t>
  </si>
  <si>
    <t xml:space="preserve">Electrical Equipment, Appliance, and Component Manufacturing (335) </t>
  </si>
  <si>
    <t>Electric lighting equipment manufacturing (3351)</t>
  </si>
  <si>
    <t>Household appliance manufacturing (3352) - Small electrical appliance manufacturing (33521)</t>
  </si>
  <si>
    <t>Household appliance manufacturing (3352) - Major household appliance manufacturing (33522)</t>
  </si>
  <si>
    <t>All other electrical equipment and component manufacturing (in 335)</t>
  </si>
  <si>
    <t>335 minus 3351, 33521, 33522</t>
  </si>
  <si>
    <t>Transportation Equipment Manufacturing (336)</t>
  </si>
  <si>
    <t>Transportation equipment manufacturing (336)</t>
  </si>
  <si>
    <t xml:space="preserve">Furniture and Related Product Manufacturing (337) </t>
  </si>
  <si>
    <t>Furniture and related product manufacturing (337)</t>
  </si>
  <si>
    <t xml:space="preserve">Miscellaneous Manufacturing (339) </t>
  </si>
  <si>
    <t>Medical equipment and supplies manufacturing (3391)</t>
  </si>
  <si>
    <t>Other miscellaneous manufacturing (3399)</t>
  </si>
  <si>
    <t>811490 Bicycle repair and maintenance shops without retailing new bicycles</t>
  </si>
  <si>
    <t>5221, 5222, 5223</t>
  </si>
  <si>
    <t>5231, 5232, 5239</t>
  </si>
  <si>
    <t>5241, 5242</t>
  </si>
  <si>
    <t>5251, 5259</t>
  </si>
  <si>
    <t>5311, 5312, 5313</t>
  </si>
  <si>
    <t>53221, 532284</t>
  </si>
  <si>
    <t>5615, 5617</t>
  </si>
  <si>
    <t>6116, 6117</t>
  </si>
  <si>
    <t>7224, 7225</t>
  </si>
  <si>
    <t>3116, 3117</t>
  </si>
  <si>
    <t>3254, 3256</t>
  </si>
  <si>
    <t>327211, 327212</t>
  </si>
  <si>
    <t>3271, 3272</t>
  </si>
  <si>
    <t>3351, 33521, 33522</t>
  </si>
  <si>
    <t>457120 Marine service stations</t>
  </si>
  <si>
    <t>NAICS index names to subtract</t>
  </si>
  <si>
    <t>Funeral homes combined with crematories</t>
  </si>
  <si>
    <t>71395; 713990 Billiard parlors; 713990 Billiard rooms; 713990 Pool halls; 713990 Pool parlors;  713990 Pool rooms;  713990 Escape rooms; 713990 Racetracks, slot car (i.e., amusement devices)</t>
  </si>
  <si>
    <t>Billiard parlors; Billiard rooms; Pool halls; Pool parlors;  Pool rooms;  Escape rooms; Racetracks, slot car (i.e., amusement devices)</t>
  </si>
  <si>
    <t>Bicycle repair and maintenance shops without retailing new bicycles; Motorboat (i.e., inboard and outboard) repair and maintenance services; Boat, pleasure, repair and maintenance services without retailing new boats</t>
  </si>
  <si>
    <t>811490 Motorboat (i.e., inboard and outboard) repair and maintenance services; 811490 Boat, pleasure, repair and maintenance services without retailing new boats; 811490 Pleasure boat maintenance services (e.g., cleaning, scaling, waxing); 811490 Outboard motor repair shops</t>
  </si>
  <si>
    <t>812220 Crematories (except combined with funeral homes); 812220 Pet crematories</t>
  </si>
  <si>
    <t>812332 Industrial launderers; 812332 Launderers, industrial; 812332 Laundry services, industrial</t>
  </si>
  <si>
    <t>Marine service stations; Truck stops</t>
  </si>
  <si>
    <t>4571 minus 457120 Marine service stations; 457120 Truck stops</t>
  </si>
  <si>
    <t>Aqua therapy services, non-medical; Baths, steam or turkish; Day spas; Massage wellness spas/centers; Saunas; Steam baths; Sun tanning salons; Tanning salons; Tattoo parlors; Turkish bathhouses; Turkish baths</t>
  </si>
  <si>
    <t>Aerobic dance and exercise centers; Athletic club facilities, physical fitness; Body building studios, physical fitness; Dance centers, aerobic; Exercise centers; Fitness centers; Fitness salons; Fitness spas without accommodations; Gymnasiums; Gyms, physical fitness; Handball club facilities; Health club facilities, physical fitness; Health spas without accommodations, physical fitness; Health studios, physical fitness; Physical fitness centers; Physical fitness facilities; Physical fitness studios; Pilates fitness studios or centers; Racquetball club facilities; Recreational sports club facilities; Spas without accommodations, fitness; Sports club facilities, physical fitness; Squash club facilities; Strength development centers; Tennis club facilities; Tennis courts; Weight training centers; Yoga fitness studios or centers; Billiard parlors; Billiard rooms; Pool halls; Pool parlors;  Pool rooms;  Escape rooms; Racetracks, slot car (i.e., amusement devices)</t>
  </si>
  <si>
    <t>No EV charging NAICS index available under 4571</t>
  </si>
  <si>
    <t>Can't separate laundry and dry cleaners in NAICS indices</t>
  </si>
  <si>
    <t>#N/A</t>
  </si>
  <si>
    <t>71395, 713990 (select)</t>
  </si>
  <si>
    <t>8122 (select)</t>
  </si>
  <si>
    <t>8123 (select)</t>
  </si>
  <si>
    <t>4592 (select)</t>
  </si>
  <si>
    <t>8114 (select)</t>
  </si>
  <si>
    <t>Processed NAICS</t>
  </si>
  <si>
    <t>444180 (select)</t>
  </si>
  <si>
    <t>in 4571</t>
  </si>
  <si>
    <t>4571 (select)</t>
  </si>
  <si>
    <t>Manually assigned NAICS code</t>
  </si>
  <si>
    <t>71312, in 71394, in 71399</t>
  </si>
  <si>
    <t>71312, 71394 minus Health and fitness, and 71399 minus Select entertainment facilities</t>
  </si>
  <si>
    <t>in 81221</t>
  </si>
  <si>
    <t>8121 minus Health and fitness</t>
  </si>
  <si>
    <t>Health and fitness codes subtracted from 8121</t>
  </si>
  <si>
    <t>Health and fitness codes subtracted from 71394; Select entertainment facilities codes subtracted from 71399</t>
  </si>
  <si>
    <t>8114 minus 81141, 81149 (select)</t>
  </si>
  <si>
    <t>81141</t>
  </si>
  <si>
    <t>NAICS index names to include</t>
  </si>
  <si>
    <t>Lumber retailing yards</t>
  </si>
  <si>
    <t>Marine service stations</t>
  </si>
  <si>
    <t>Racket court uses fall into UGI if outdoor</t>
  </si>
  <si>
    <t>Aerobic dance and exercise centers; Athletic club facilities, physical fitness; Body building studios, physical fitness; Dance centers, aerobic; Exercise centers; Fitness centers; Fitness salons; Fitness spas without accommodations; Gymnasiums; Gyms, physical fitness; Handball club facilities; Health club facilities, physical fitness; Health spas without accommodations, physical fitness; Health studios, physical fitness; Physical fitness centers; Physical fitness facilities; Physical fitness studios; Pilates fitness studios or centers; Racquetball club facilities; Recreational sports club facilities; Spas without accommodations, fitness; Sports club facilities, physical fitness; Squash club facilities; Strength development centers; Tennis club facilities; Tennis courts; Weight training centers; Yoga fitness studios or centers; Aqua therapy services, non-medical; Baths, steam or turkish; Day spas; Massage wellness spas/centers; Saunas; Steam baths; Sun tanning salons; Tanning salons; Tattoo parlors; Turkish bathhouses; Turkish baths</t>
  </si>
  <si>
    <t>8121 (select), 71394 (select)</t>
  </si>
  <si>
    <t>Bicycle repair and maintenance shops without retailing new bicycles</t>
  </si>
  <si>
    <t>Motorboat (i.e., inboard and outboard) repair and maintenance services; Boat, pleasure, repair and maintenance services without retailing new boats; Pleasure boat maintenance services (e.g., cleaning, scaling, waxing); Outboard motor repair shops</t>
  </si>
  <si>
    <t>Crematories (except combined with funeral homes); Pet crematories</t>
  </si>
  <si>
    <t>Industrial launderers; Launderers, industrial; Laundry services, industrial</t>
  </si>
  <si>
    <t>Child care centers*</t>
  </si>
  <si>
    <t>Cannabis dispensaries*</t>
  </si>
  <si>
    <t>Use Notes</t>
  </si>
  <si>
    <t>Not an official Zoning Resolution use - added manually, follows rules of Miscellaneous Retailers (4599)</t>
  </si>
  <si>
    <t>Book stores; Comic book stores; Religious book stores</t>
  </si>
  <si>
    <t>459210 Book stores; 459210 Comic book stores; 459210 Religious book stores</t>
  </si>
  <si>
    <t>News dealers; Newsstands (i.e., permanent); Magazine stands (i.e., permanent)</t>
  </si>
  <si>
    <t>459210 News dealers; 459210 Newsstands (i.e., permanent); 459210 Magazine stands (i.e., permanent)</t>
  </si>
  <si>
    <t>NAICS join not performed b/c laundry and dry cleaning not separated at NAICS index level</t>
  </si>
  <si>
    <t>If court is indoors, falls into UG VI Services #Health and fitness establishments#</t>
  </si>
  <si>
    <t>Not an official Zoning Resolution use - added manually, follows rules of #Schools#. See Zoning Resolution glossary for details: https://zr.planning.nyc.gov/article-i/chapter-2#12-10</t>
  </si>
  <si>
    <r>
      <rPr>
        <sz val="11"/>
        <color theme="10"/>
        <rFont val="Aptos Narrow"/>
        <family val="2"/>
        <scheme val="minor"/>
      </rPr>
      <t>See ZR Glossary for #use#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</si>
  <si>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#single-family residence# and #detached# definitions: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</si>
  <si>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#two-family residence# and #detached# definitions: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</si>
  <si>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#single-family residence#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</si>
  <si>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#two-family residence#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</si>
  <si>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#residence# and other term definitions: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</si>
  <si>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#school#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</si>
  <si>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#long-term care facility#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</si>
  <si>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#non-profit hospital staff dwelling#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</si>
  <si>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#public park#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</si>
  <si>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#accessory#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</si>
  <si>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#energy infrastructure equipment#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</si>
  <si>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#motel#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</si>
  <si>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#transient hotel#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</si>
  <si>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#tourist cabin#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</si>
  <si>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#heavy motor vehicle repair and maintenance shop#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</si>
  <si>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#light motor vehicle repair and maintenance shop#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</si>
  <si>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t>See ZR Glossary for use definition: https://zr.planning.nyc.gov/article-i/chapter-2#12-10</t>
  </si>
  <si>
    <r>
      <rPr>
        <sz val="11"/>
        <color theme="10"/>
        <rFont val="Aptos Narrow"/>
        <family val="2"/>
        <scheme val="minor"/>
      </rPr>
      <t>See ZR Glossary for use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https://zr.planning.nyc.gov/article-i/chapter-2#12-10; </t>
    </r>
    <r>
      <rPr>
        <sz val="11"/>
        <color theme="10"/>
        <rFont val="Aptos Narrow"/>
        <family val="2"/>
        <scheme val="minor"/>
      </rPr>
      <t>NAICS index assigned for tool usability, relationship not officially defined in Zoning Resolution.</t>
    </r>
  </si>
  <si>
    <r>
      <rPr>
        <sz val="11"/>
        <color theme="10"/>
        <rFont val="Aptos Narrow"/>
        <family val="2"/>
        <scheme val="minor"/>
      </rPr>
      <t>See ZR Glossary for #public parking garage# and #public parking lot# definitions: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</si>
  <si>
    <r>
      <rPr>
        <sz val="11"/>
        <color theme="10"/>
        <rFont val="Aptos Narrow"/>
        <family val="2"/>
        <scheme val="minor"/>
      </rPr>
      <t>See ZR Glossary for #self-service storage facility# definition:</t>
    </r>
    <r>
      <rPr>
        <u/>
        <sz val="11"/>
        <color theme="10"/>
        <rFont val="Aptos Narrow"/>
        <family val="2"/>
        <scheme val="minor"/>
      </rPr>
      <t xml:space="preserve"> https://zr.planning.nyc.gov/article-i/chapter-2#12-10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</si>
</sst>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bscript"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vertAlign val="subscript"/>
      <sz val="11"/>
      <color theme="9" tint="-0.499984740745262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7" fillId="0" borderId="0" xfId="0" quotePrefix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7" fillId="0" borderId="5" xfId="0" quotePrefix="1" applyFont="1" applyBorder="1" applyAlignment="1">
      <alignment horizontal="center" vertical="top" wrapText="1"/>
    </xf>
    <xf numFmtId="0" fontId="7" fillId="0" borderId="2" xfId="0" quotePrefix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0" xfId="0" applyFont="1"/>
    <xf numFmtId="0" fontId="6" fillId="0" borderId="0" xfId="0" quotePrefix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quotePrefix="1" applyFont="1" applyBorder="1" applyAlignment="1">
      <alignment horizontal="center" vertical="top" wrapText="1"/>
    </xf>
    <xf numFmtId="0" fontId="6" fillId="0" borderId="2" xfId="0" applyFont="1" applyBorder="1"/>
    <xf numFmtId="0" fontId="6" fillId="0" borderId="0" xfId="0" applyFont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quotePrefix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quotePrefix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wrapText="1"/>
    </xf>
    <xf numFmtId="0" fontId="0" fillId="0" borderId="2" xfId="0" applyBorder="1"/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left" wrapText="1"/>
    </xf>
    <xf numFmtId="49" fontId="6" fillId="0" borderId="0" xfId="0" applyNumberFormat="1" applyFont="1" applyAlignment="1">
      <alignment horizontal="left" wrapText="1"/>
    </xf>
    <xf numFmtId="49" fontId="0" fillId="0" borderId="0" xfId="0" applyNumberFormat="1"/>
    <xf numFmtId="0" fontId="0" fillId="0" borderId="5" xfId="0" applyBorder="1"/>
    <xf numFmtId="49" fontId="10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1" fillId="0" borderId="0" xfId="1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zr.planning.nyc.gov/article-i/chapter-2" TargetMode="External"/><Relationship Id="rId7" Type="http://schemas.openxmlformats.org/officeDocument/2006/relationships/hyperlink" Target="https://zr.planning.nyc.gov/article-i/chapter-2" TargetMode="External"/><Relationship Id="rId2" Type="http://schemas.openxmlformats.org/officeDocument/2006/relationships/hyperlink" Target="https://zr.planning.nyc.gov/article-i/chapter-2" TargetMode="External"/><Relationship Id="rId1" Type="http://schemas.openxmlformats.org/officeDocument/2006/relationships/hyperlink" Target="https://zr.planning.nyc.gov/article-i/chapter-2" TargetMode="External"/><Relationship Id="rId6" Type="http://schemas.openxmlformats.org/officeDocument/2006/relationships/hyperlink" Target="https://zr.planning.nyc.gov/article-i/chapter-2" TargetMode="External"/><Relationship Id="rId5" Type="http://schemas.openxmlformats.org/officeDocument/2006/relationships/hyperlink" Target="https://zr.planning.nyc.gov/article-i/chapter-2" TargetMode="External"/><Relationship Id="rId4" Type="http://schemas.openxmlformats.org/officeDocument/2006/relationships/hyperlink" Target="https://zr.planning.nyc.gov/article-i/chapter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CC2-A099-44E0-B387-6C603FEE7195}">
  <dimension ref="A1:AJ244"/>
  <sheetViews>
    <sheetView tabSelected="1" topLeftCell="F1" zoomScale="80" zoomScaleNormal="80" workbookViewId="0">
      <pane ySplit="1" topLeftCell="A2" activePane="bottomLeft" state="frozen"/>
      <selection pane="bottomLeft" activeCell="K181" sqref="K181"/>
    </sheetView>
  </sheetViews>
  <sheetFormatPr defaultColWidth="9.140625" defaultRowHeight="15" x14ac:dyDescent="0.25"/>
  <cols>
    <col min="1" max="1" width="10.42578125" bestFit="1" customWidth="1"/>
    <col min="2" max="2" width="33.5703125" bestFit="1" customWidth="1"/>
    <col min="3" max="3" width="52.42578125" customWidth="1"/>
    <col min="4" max="4" width="48.42578125" customWidth="1"/>
    <col min="5" max="5" width="19.85546875" style="39" bestFit="1" customWidth="1"/>
    <col min="6" max="6" width="31.85546875" style="39" customWidth="1"/>
    <col min="7" max="7" width="42.85546875" style="39" customWidth="1"/>
    <col min="8" max="8" width="31.85546875" style="39" customWidth="1"/>
    <col min="9" max="9" width="32" style="39" customWidth="1"/>
    <col min="10" max="10" width="42.85546875" style="39" customWidth="1"/>
    <col min="11" max="11" width="48.5703125" style="39" bestFit="1" customWidth="1"/>
    <col min="12" max="12" width="3.85546875" customWidth="1"/>
    <col min="13" max="20" width="3.85546875" bestFit="1" customWidth="1"/>
    <col min="21" max="21" width="4.28515625" bestFit="1" customWidth="1"/>
    <col min="22" max="23" width="4.28515625" customWidth="1"/>
    <col min="24" max="34" width="4" bestFit="1" customWidth="1"/>
    <col min="36" max="36" width="11.85546875" bestFit="1" customWidth="1"/>
  </cols>
  <sheetData>
    <row r="1" spans="1:36" x14ac:dyDescent="0.25">
      <c r="A1" s="6" t="s">
        <v>0</v>
      </c>
      <c r="B1" s="6" t="s">
        <v>1</v>
      </c>
      <c r="C1" s="6" t="s">
        <v>2</v>
      </c>
      <c r="D1" s="6" t="s">
        <v>3</v>
      </c>
      <c r="E1" s="36" t="s">
        <v>4</v>
      </c>
      <c r="F1" s="36" t="s">
        <v>471</v>
      </c>
      <c r="G1" s="36" t="s">
        <v>484</v>
      </c>
      <c r="H1" s="36" t="s">
        <v>5</v>
      </c>
      <c r="I1" s="36" t="s">
        <v>6</v>
      </c>
      <c r="J1" s="36" t="s">
        <v>451</v>
      </c>
      <c r="K1" s="36" t="s">
        <v>496</v>
      </c>
      <c r="L1" s="11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7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11" t="s">
        <v>27</v>
      </c>
      <c r="AG1" s="6" t="s">
        <v>28</v>
      </c>
      <c r="AH1" s="7" t="s">
        <v>29</v>
      </c>
      <c r="AI1" s="7" t="s">
        <v>30</v>
      </c>
      <c r="AJ1" s="11" t="s">
        <v>31</v>
      </c>
    </row>
    <row r="2" spans="1:36" ht="51" x14ac:dyDescent="0.25">
      <c r="A2" t="s">
        <v>32</v>
      </c>
      <c r="B2" s="32" t="s">
        <v>33</v>
      </c>
      <c r="C2" s="32" t="s">
        <v>34</v>
      </c>
      <c r="D2" s="32" t="str">
        <f>_xlfn.TEXTAFTER(C2," - ",,,,C2)</f>
        <v>Agricultural #uses#, including greenhouses, nurseries or truck gardens</v>
      </c>
      <c r="E2" s="37" t="e" cm="1">
        <f t="array" aca="1" ref="E2" ca="1">MID(C2,FIND("(",C2,LOOKUP(2,1/(MID(C2,ROW(INDIRECT("1:"&amp;LEN(C2))),1)="("),ROW(INDIRECT("1:"&amp;LEN(C2)))))+1,FIND(")",C2,LOOKUP(2,1/(MID(C2,ROW(INDIRECT("1:"&amp;LEN(C2))),1)="("),ROW(INDIRECT("1:"&amp;LEN(C2)))))-FIND("(",C2,LOOKUP(2,1/(MID(C2,ROW(INDIRECT("1:"&amp;LEN(C2))),1)="("),ROW(INDIRECT("1:"&amp;LEN(C2)))))-1)</f>
        <v>#N/A</v>
      </c>
      <c r="F2" s="37"/>
      <c r="G2" s="37"/>
      <c r="H2" s="37"/>
      <c r="I2" s="44"/>
      <c r="J2" s="37"/>
      <c r="K2" s="44" t="s">
        <v>505</v>
      </c>
      <c r="L2" s="26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28" t="s">
        <v>35</v>
      </c>
      <c r="X2" s="1" t="s">
        <v>36</v>
      </c>
      <c r="Y2" s="1" t="s">
        <v>36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26" t="s">
        <v>37</v>
      </c>
      <c r="AG2" s="1" t="s">
        <v>37</v>
      </c>
      <c r="AH2" s="28" t="s">
        <v>37</v>
      </c>
      <c r="AI2" s="28" t="s">
        <v>38</v>
      </c>
      <c r="AJ2" s="40">
        <v>0</v>
      </c>
    </row>
    <row r="3" spans="1:36" ht="30" x14ac:dyDescent="0.25">
      <c r="A3" t="s">
        <v>32</v>
      </c>
      <c r="B3" s="32" t="s">
        <v>39</v>
      </c>
      <c r="C3" s="32" t="s">
        <v>40</v>
      </c>
      <c r="D3" s="32" t="str">
        <f t="shared" ref="D3:D66" si="0">_xlfn.TEXTAFTER(C3," - ",,,,C3)</f>
        <v>Cemeteries</v>
      </c>
      <c r="E3" s="37" t="e" cm="1">
        <f t="array" aca="1" ref="E3" ca="1">MID(C3,FIND("(",C3,LOOKUP(2,1/(MID(C3,ROW(INDIRECT("1:"&amp;LEN(C3))),1)="("),ROW(INDIRECT("1:"&amp;LEN(C3)))))+1,FIND(")",C3,LOOKUP(2,1/(MID(C3,ROW(INDIRECT("1:"&amp;LEN(C3))),1)="("),ROW(INDIRECT("1:"&amp;LEN(C3)))))-FIND("(",C3,LOOKUP(2,1/(MID(C3,ROW(INDIRECT("1:"&amp;LEN(C3))),1)="("),ROW(INDIRECT("1:"&amp;LEN(C3)))))-1)</f>
        <v>#N/A</v>
      </c>
      <c r="F3" s="37"/>
      <c r="G3" s="37"/>
      <c r="H3" s="37"/>
      <c r="I3" s="37"/>
      <c r="J3" s="37"/>
      <c r="K3" s="44"/>
      <c r="L3" s="27" t="s">
        <v>41</v>
      </c>
      <c r="M3" s="2" t="s">
        <v>41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28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26" t="s">
        <v>42</v>
      </c>
      <c r="AG3" s="2" t="s">
        <v>41</v>
      </c>
      <c r="AH3" s="29" t="s">
        <v>41</v>
      </c>
      <c r="AI3" s="29" t="s">
        <v>43</v>
      </c>
      <c r="AJ3" s="40">
        <v>0</v>
      </c>
    </row>
    <row r="4" spans="1:36" ht="45" x14ac:dyDescent="0.25">
      <c r="A4" t="s">
        <v>32</v>
      </c>
      <c r="B4" s="32" t="s">
        <v>39</v>
      </c>
      <c r="C4" s="32" t="s">
        <v>44</v>
      </c>
      <c r="D4" s="32" t="str">
        <f t="shared" si="0"/>
        <v>Golf courses</v>
      </c>
      <c r="E4" s="37" t="e" cm="1">
        <f t="array" aca="1" ref="E4" ca="1">MID(C4,FIND("(",C4,LOOKUP(2,1/(MID(C4,ROW(INDIRECT("1:"&amp;LEN(C4))),1)="("),ROW(INDIRECT("1:"&amp;LEN(C4)))))+1,FIND(")",C4,LOOKUP(2,1/(MID(C4,ROW(INDIRECT("1:"&amp;LEN(C4))),1)="("),ROW(INDIRECT("1:"&amp;LEN(C4)))))-FIND("(",C4,LOOKUP(2,1/(MID(C4,ROW(INDIRECT("1:"&amp;LEN(C4))),1)="("),ROW(INDIRECT("1:"&amp;LEN(C4)))))-1)</f>
        <v>#N/A</v>
      </c>
      <c r="F4" s="37"/>
      <c r="G4" s="37"/>
      <c r="H4" s="37"/>
      <c r="I4" s="37"/>
      <c r="J4" s="37"/>
      <c r="K4" s="37"/>
      <c r="L4" s="26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28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26" t="s">
        <v>42</v>
      </c>
      <c r="AG4" s="2" t="s">
        <v>41</v>
      </c>
      <c r="AH4" s="29" t="s">
        <v>41</v>
      </c>
      <c r="AI4" s="29" t="s">
        <v>45</v>
      </c>
      <c r="AJ4" s="40">
        <v>0</v>
      </c>
    </row>
    <row r="5" spans="1:36" ht="33" x14ac:dyDescent="0.25">
      <c r="A5" t="s">
        <v>32</v>
      </c>
      <c r="B5" s="32" t="s">
        <v>39</v>
      </c>
      <c r="C5" s="32" t="s">
        <v>46</v>
      </c>
      <c r="D5" s="32" t="str">
        <f t="shared" si="0"/>
        <v>Outdoor racket courts</v>
      </c>
      <c r="E5" s="37" t="e" cm="1">
        <f t="array" aca="1" ref="E5" ca="1">MID(C5,FIND("(",C5,LOOKUP(2,1/(MID(C5,ROW(INDIRECT("1:"&amp;LEN(C5))),1)="("),ROW(INDIRECT("1:"&amp;LEN(C5)))))+1,FIND(")",C5,LOOKUP(2,1/(MID(C5,ROW(INDIRECT("1:"&amp;LEN(C5))),1)="("),ROW(INDIRECT("1:"&amp;LEN(C5)))))-FIND("(",C5,LOOKUP(2,1/(MID(C5,ROW(INDIRECT("1:"&amp;LEN(C5))),1)="("),ROW(INDIRECT("1:"&amp;LEN(C5)))))-1)</f>
        <v>#N/A</v>
      </c>
      <c r="F5" s="37"/>
      <c r="G5" s="37"/>
      <c r="H5" s="37"/>
      <c r="I5" s="37"/>
      <c r="J5" s="37"/>
      <c r="K5" s="37" t="s">
        <v>503</v>
      </c>
      <c r="L5" s="26" t="s">
        <v>47</v>
      </c>
      <c r="M5" s="1" t="s">
        <v>47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28" t="s">
        <v>35</v>
      </c>
      <c r="X5" s="1" t="s">
        <v>35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35</v>
      </c>
      <c r="AD5" s="1" t="s">
        <v>35</v>
      </c>
      <c r="AE5" s="1" t="s">
        <v>35</v>
      </c>
      <c r="AF5" s="26" t="s">
        <v>35</v>
      </c>
      <c r="AG5" s="2" t="s">
        <v>41</v>
      </c>
      <c r="AH5" s="29" t="s">
        <v>41</v>
      </c>
      <c r="AI5" s="29" t="s">
        <v>38</v>
      </c>
      <c r="AJ5" s="40">
        <v>0</v>
      </c>
    </row>
    <row r="6" spans="1:36" ht="33" x14ac:dyDescent="0.25">
      <c r="A6" t="s">
        <v>32</v>
      </c>
      <c r="B6" s="32" t="s">
        <v>39</v>
      </c>
      <c r="C6" s="32" t="s">
        <v>48</v>
      </c>
      <c r="D6" s="32" t="str">
        <f t="shared" si="0"/>
        <v>Outdoor skating rinks</v>
      </c>
      <c r="E6" s="37" t="e" cm="1">
        <f t="array" aca="1" ref="E6" ca="1">MID(C6,FIND("(",C6,LOOKUP(2,1/(MID(C6,ROW(INDIRECT("1:"&amp;LEN(C6))),1)="("),ROW(INDIRECT("1:"&amp;LEN(C6)))))+1,FIND(")",C6,LOOKUP(2,1/(MID(C6,ROW(INDIRECT("1:"&amp;LEN(C6))),1)="("),ROW(INDIRECT("1:"&amp;LEN(C6)))))-FIND("(",C6,LOOKUP(2,1/(MID(C6,ROW(INDIRECT("1:"&amp;LEN(C6))),1)="("),ROW(INDIRECT("1:"&amp;LEN(C6)))))-1)</f>
        <v>#N/A</v>
      </c>
      <c r="F6" s="37"/>
      <c r="G6" s="37"/>
      <c r="H6" s="37"/>
      <c r="I6" s="37"/>
      <c r="J6" s="37"/>
      <c r="K6" s="37"/>
      <c r="L6" s="26" t="s">
        <v>47</v>
      </c>
      <c r="M6" s="1" t="s">
        <v>47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28" t="s">
        <v>35</v>
      </c>
      <c r="X6" s="1" t="s">
        <v>35</v>
      </c>
      <c r="Y6" s="1" t="s">
        <v>35</v>
      </c>
      <c r="Z6" s="1" t="s">
        <v>35</v>
      </c>
      <c r="AA6" s="1" t="s">
        <v>35</v>
      </c>
      <c r="AB6" s="1" t="s">
        <v>35</v>
      </c>
      <c r="AC6" s="1" t="s">
        <v>35</v>
      </c>
      <c r="AD6" s="1" t="s">
        <v>42</v>
      </c>
      <c r="AE6" s="1" t="s">
        <v>42</v>
      </c>
      <c r="AF6" s="26" t="s">
        <v>42</v>
      </c>
      <c r="AG6" s="1" t="s">
        <v>42</v>
      </c>
      <c r="AH6" s="28" t="s">
        <v>42</v>
      </c>
      <c r="AI6" s="28" t="s">
        <v>38</v>
      </c>
      <c r="AJ6" s="40">
        <v>0</v>
      </c>
    </row>
    <row r="7" spans="1:36" ht="30" x14ac:dyDescent="0.25">
      <c r="A7" t="s">
        <v>32</v>
      </c>
      <c r="B7" s="32" t="s">
        <v>39</v>
      </c>
      <c r="C7" s="32" t="s">
        <v>49</v>
      </c>
      <c r="D7" s="32" t="str">
        <f t="shared" si="0"/>
        <v>#Public parks# or playgrounds or private parks</v>
      </c>
      <c r="E7" s="37" t="e" cm="1">
        <f t="array" aca="1" ref="E7" ca="1">MID(C7,FIND("(",C7,LOOKUP(2,1/(MID(C7,ROW(INDIRECT("1:"&amp;LEN(C7))),1)="("),ROW(INDIRECT("1:"&amp;LEN(C7)))))+1,FIND(")",C7,LOOKUP(2,1/(MID(C7,ROW(INDIRECT("1:"&amp;LEN(C7))),1)="("),ROW(INDIRECT("1:"&amp;LEN(C7)))))-FIND("(",C7,LOOKUP(2,1/(MID(C7,ROW(INDIRECT("1:"&amp;LEN(C7))),1)="("),ROW(INDIRECT("1:"&amp;LEN(C7)))))-1)</f>
        <v>#N/A</v>
      </c>
      <c r="F7" s="37"/>
      <c r="G7" s="37"/>
      <c r="H7" s="37"/>
      <c r="I7" s="37"/>
      <c r="J7" s="37"/>
      <c r="K7" s="44" t="s">
        <v>514</v>
      </c>
      <c r="L7" s="26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28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26" t="s">
        <v>42</v>
      </c>
      <c r="AG7" s="2" t="s">
        <v>41</v>
      </c>
      <c r="AH7" s="29" t="s">
        <v>41</v>
      </c>
      <c r="AI7" s="29" t="s">
        <v>43</v>
      </c>
      <c r="AJ7" s="40">
        <v>0</v>
      </c>
    </row>
    <row r="8" spans="1:36" ht="30" x14ac:dyDescent="0.25">
      <c r="A8" t="s">
        <v>32</v>
      </c>
      <c r="B8" s="32" t="s">
        <v>39</v>
      </c>
      <c r="C8" s="32" t="s">
        <v>50</v>
      </c>
      <c r="D8" s="32" t="str">
        <f t="shared" si="0"/>
        <v>Sand, gravel or clay pits</v>
      </c>
      <c r="E8" s="37" t="e" cm="1">
        <f t="array" aca="1" ref="E8" ca="1">MID(C8,FIND("(",C8,LOOKUP(2,1/(MID(C8,ROW(INDIRECT("1:"&amp;LEN(C8))),1)="("),ROW(INDIRECT("1:"&amp;LEN(C8)))))+1,FIND(")",C8,LOOKUP(2,1/(MID(C8,ROW(INDIRECT("1:"&amp;LEN(C8))),1)="("),ROW(INDIRECT("1:"&amp;LEN(C8)))))-FIND("(",C8,LOOKUP(2,1/(MID(C8,ROW(INDIRECT("1:"&amp;LEN(C8))),1)="("),ROW(INDIRECT("1:"&amp;LEN(C8)))))-1)</f>
        <v>#N/A</v>
      </c>
      <c r="F8" s="37"/>
      <c r="G8" s="37"/>
      <c r="H8" s="37"/>
      <c r="I8" s="37"/>
      <c r="J8" s="37"/>
      <c r="K8" s="44"/>
      <c r="L8" s="26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28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26" t="s">
        <v>47</v>
      </c>
      <c r="AG8" s="1" t="s">
        <v>47</v>
      </c>
      <c r="AH8" s="28" t="s">
        <v>47</v>
      </c>
      <c r="AI8" s="29" t="s">
        <v>43</v>
      </c>
      <c r="AJ8" s="40">
        <v>0</v>
      </c>
    </row>
    <row r="9" spans="1:36" ht="45" x14ac:dyDescent="0.25">
      <c r="A9" t="s">
        <v>51</v>
      </c>
      <c r="B9" s="32" t="s">
        <v>52</v>
      </c>
      <c r="C9" s="32" t="s">
        <v>53</v>
      </c>
      <c r="D9" s="32" t="str">
        <f t="shared" si="0"/>
        <v>#Single-family residence# #Detached#</v>
      </c>
      <c r="E9" s="37" t="e" cm="1">
        <f t="array" aca="1" ref="E9" ca="1">MID(C9,FIND("(",C9,LOOKUP(2,1/(MID(C9,ROW(INDIRECT("1:"&amp;LEN(C9))),1)="("),ROW(INDIRECT("1:"&amp;LEN(C9)))))+1,FIND(")",C9,LOOKUP(2,1/(MID(C9,ROW(INDIRECT("1:"&amp;LEN(C9))),1)="("),ROW(INDIRECT("1:"&amp;LEN(C9)))))-FIND("(",C9,LOOKUP(2,1/(MID(C9,ROW(INDIRECT("1:"&amp;LEN(C9))),1)="("),ROW(INDIRECT("1:"&amp;LEN(C9)))))-1)</f>
        <v>#N/A</v>
      </c>
      <c r="F9" s="37"/>
      <c r="G9" s="37"/>
      <c r="H9" s="37"/>
      <c r="I9" s="37"/>
      <c r="J9" s="37"/>
      <c r="K9" s="44" t="s">
        <v>506</v>
      </c>
      <c r="L9" s="26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28" t="s">
        <v>42</v>
      </c>
      <c r="X9" s="1" t="s">
        <v>42</v>
      </c>
      <c r="Y9" s="1" t="s">
        <v>42</v>
      </c>
      <c r="Z9" s="1" t="s">
        <v>42</v>
      </c>
      <c r="AA9" s="1" t="s">
        <v>35</v>
      </c>
      <c r="AB9" s="1" t="s">
        <v>42</v>
      </c>
      <c r="AC9" s="1" t="s">
        <v>42</v>
      </c>
      <c r="AD9" s="2" t="s">
        <v>41</v>
      </c>
      <c r="AE9" s="2" t="s">
        <v>41</v>
      </c>
      <c r="AF9" s="26" t="s">
        <v>54</v>
      </c>
      <c r="AG9" s="2" t="s">
        <v>41</v>
      </c>
      <c r="AH9" s="29" t="s">
        <v>41</v>
      </c>
      <c r="AI9" s="33"/>
      <c r="AJ9" s="40">
        <v>0</v>
      </c>
    </row>
    <row r="10" spans="1:36" s="18" customFormat="1" ht="45" x14ac:dyDescent="0.25">
      <c r="A10" s="18" t="s">
        <v>51</v>
      </c>
      <c r="B10" s="4" t="s">
        <v>52</v>
      </c>
      <c r="C10" s="4" t="s">
        <v>55</v>
      </c>
      <c r="D10" s="4" t="str">
        <f t="shared" si="0"/>
        <v>#Single-family residence# Other types</v>
      </c>
      <c r="E10" s="38" t="e" cm="1">
        <f t="array" aca="1" ref="E10" ca="1">MID(C10,FIND("(",C10,LOOKUP(2,1/(MID(C10,ROW(INDIRECT("1:"&amp;LEN(C10))),1)="("),ROW(INDIRECT("1:"&amp;LEN(C10)))))+1,FIND(")",C10,LOOKUP(2,1/(MID(C10,ROW(INDIRECT("1:"&amp;LEN(C10))),1)="("),ROW(INDIRECT("1:"&amp;LEN(C10)))))-FIND("(",C10,LOOKUP(2,1/(MID(C10,ROW(INDIRECT("1:"&amp;LEN(C10))),1)="("),ROW(INDIRECT("1:"&amp;LEN(C10)))))-1)</f>
        <v>#N/A</v>
      </c>
      <c r="F10" s="38"/>
      <c r="G10" s="38"/>
      <c r="H10" s="38"/>
      <c r="I10" s="38"/>
      <c r="J10" s="38"/>
      <c r="K10" s="44" t="s">
        <v>508</v>
      </c>
      <c r="L10" s="22" t="s">
        <v>56</v>
      </c>
      <c r="M10" s="20" t="s">
        <v>56</v>
      </c>
      <c r="N10" s="20" t="s">
        <v>56</v>
      </c>
      <c r="O10" s="20" t="s">
        <v>56</v>
      </c>
      <c r="P10" s="20" t="s">
        <v>56</v>
      </c>
      <c r="Q10" s="20" t="s">
        <v>42</v>
      </c>
      <c r="R10" s="20" t="s">
        <v>42</v>
      </c>
      <c r="S10" s="20" t="s">
        <v>42</v>
      </c>
      <c r="T10" s="20" t="s">
        <v>42</v>
      </c>
      <c r="U10" s="20" t="s">
        <v>42</v>
      </c>
      <c r="V10" s="1" t="s">
        <v>42</v>
      </c>
      <c r="W10" s="28" t="s">
        <v>42</v>
      </c>
      <c r="X10" s="20" t="s">
        <v>42</v>
      </c>
      <c r="Y10" s="20" t="s">
        <v>42</v>
      </c>
      <c r="Z10" s="20" t="s">
        <v>57</v>
      </c>
      <c r="AA10" s="20" t="s">
        <v>56</v>
      </c>
      <c r="AB10" s="20" t="s">
        <v>42</v>
      </c>
      <c r="AC10" s="20" t="s">
        <v>42</v>
      </c>
      <c r="AD10" s="19" t="s">
        <v>41</v>
      </c>
      <c r="AE10" s="19" t="s">
        <v>41</v>
      </c>
      <c r="AF10" s="22" t="s">
        <v>54</v>
      </c>
      <c r="AG10" s="19" t="s">
        <v>41</v>
      </c>
      <c r="AH10" s="23" t="s">
        <v>41</v>
      </c>
      <c r="AI10" s="24"/>
      <c r="AJ10" s="40">
        <v>0</v>
      </c>
    </row>
    <row r="11" spans="1:36" s="18" customFormat="1" ht="45" x14ac:dyDescent="0.25">
      <c r="A11" s="18" t="s">
        <v>51</v>
      </c>
      <c r="B11" s="4" t="s">
        <v>52</v>
      </c>
      <c r="C11" s="4" t="s">
        <v>58</v>
      </c>
      <c r="D11" s="4" t="str">
        <f t="shared" si="0"/>
        <v>#Two-family residence# #Detached#</v>
      </c>
      <c r="E11" s="38" t="e" cm="1">
        <f t="array" aca="1" ref="E11" ca="1">MID(C11,FIND("(",C11,LOOKUP(2,1/(MID(C11,ROW(INDIRECT("1:"&amp;LEN(C11))),1)="("),ROW(INDIRECT("1:"&amp;LEN(C11)))))+1,FIND(")",C11,LOOKUP(2,1/(MID(C11,ROW(INDIRECT("1:"&amp;LEN(C11))),1)="("),ROW(INDIRECT("1:"&amp;LEN(C11)))))-FIND("(",C11,LOOKUP(2,1/(MID(C11,ROW(INDIRECT("1:"&amp;LEN(C11))),1)="("),ROW(INDIRECT("1:"&amp;LEN(C11)))))-1)</f>
        <v>#N/A</v>
      </c>
      <c r="F11" s="38"/>
      <c r="G11" s="38"/>
      <c r="H11" s="38"/>
      <c r="I11" s="38"/>
      <c r="J11" s="38"/>
      <c r="K11" s="44" t="s">
        <v>507</v>
      </c>
      <c r="L11" s="22" t="s">
        <v>56</v>
      </c>
      <c r="M11" s="20" t="s">
        <v>56</v>
      </c>
      <c r="N11" s="20" t="s">
        <v>42</v>
      </c>
      <c r="O11" s="20" t="s">
        <v>42</v>
      </c>
      <c r="P11" s="20" t="s">
        <v>42</v>
      </c>
      <c r="Q11" s="20" t="s">
        <v>42</v>
      </c>
      <c r="R11" s="20" t="s">
        <v>42</v>
      </c>
      <c r="S11" s="20" t="s">
        <v>42</v>
      </c>
      <c r="T11" s="20" t="s">
        <v>42</v>
      </c>
      <c r="U11" s="20" t="s">
        <v>42</v>
      </c>
      <c r="V11" s="1" t="s">
        <v>42</v>
      </c>
      <c r="W11" s="28" t="s">
        <v>42</v>
      </c>
      <c r="X11" s="20" t="s">
        <v>42</v>
      </c>
      <c r="Y11" s="20" t="s">
        <v>42</v>
      </c>
      <c r="Z11" s="20" t="s">
        <v>42</v>
      </c>
      <c r="AA11" s="20" t="s">
        <v>56</v>
      </c>
      <c r="AB11" s="20" t="s">
        <v>42</v>
      </c>
      <c r="AC11" s="20" t="s">
        <v>42</v>
      </c>
      <c r="AD11" s="19" t="s">
        <v>41</v>
      </c>
      <c r="AE11" s="19" t="s">
        <v>41</v>
      </c>
      <c r="AF11" s="22" t="s">
        <v>54</v>
      </c>
      <c r="AG11" s="19" t="s">
        <v>41</v>
      </c>
      <c r="AH11" s="23" t="s">
        <v>41</v>
      </c>
      <c r="AI11" s="24"/>
      <c r="AJ11" s="40">
        <v>0</v>
      </c>
    </row>
    <row r="12" spans="1:36" ht="45" x14ac:dyDescent="0.25">
      <c r="A12" t="s">
        <v>51</v>
      </c>
      <c r="B12" s="32" t="s">
        <v>52</v>
      </c>
      <c r="C12" s="32" t="s">
        <v>59</v>
      </c>
      <c r="D12" s="32" t="str">
        <f t="shared" si="0"/>
        <v>#Two-family residence# Other types</v>
      </c>
      <c r="E12" s="37" t="e" cm="1">
        <f t="array" aca="1" ref="E12" ca="1">MID(C12,FIND("(",C12,LOOKUP(2,1/(MID(C12,ROW(INDIRECT("1:"&amp;LEN(C12))),1)="("),ROW(INDIRECT("1:"&amp;LEN(C12)))))+1,FIND(")",C12,LOOKUP(2,1/(MID(C12,ROW(INDIRECT("1:"&amp;LEN(C12))),1)="("),ROW(INDIRECT("1:"&amp;LEN(C12)))))-FIND("(",C12,LOOKUP(2,1/(MID(C12,ROW(INDIRECT("1:"&amp;LEN(C12))),1)="("),ROW(INDIRECT("1:"&amp;LEN(C12)))))-1)</f>
        <v>#N/A</v>
      </c>
      <c r="F12" s="37"/>
      <c r="G12" s="37"/>
      <c r="H12" s="37"/>
      <c r="I12" s="37"/>
      <c r="J12" s="37"/>
      <c r="K12" s="44" t="s">
        <v>509</v>
      </c>
      <c r="L12" s="22" t="s">
        <v>56</v>
      </c>
      <c r="M12" s="20" t="s">
        <v>56</v>
      </c>
      <c r="N12" s="20" t="s">
        <v>56</v>
      </c>
      <c r="O12" s="20" t="s">
        <v>56</v>
      </c>
      <c r="P12" s="20" t="s">
        <v>56</v>
      </c>
      <c r="Q12" s="20" t="s">
        <v>42</v>
      </c>
      <c r="R12" s="20" t="s">
        <v>42</v>
      </c>
      <c r="S12" s="20" t="s">
        <v>42</v>
      </c>
      <c r="T12" s="20" t="s">
        <v>42</v>
      </c>
      <c r="U12" s="20" t="s">
        <v>42</v>
      </c>
      <c r="V12" s="1" t="s">
        <v>42</v>
      </c>
      <c r="W12" s="28" t="s">
        <v>42</v>
      </c>
      <c r="X12" s="1" t="s">
        <v>42</v>
      </c>
      <c r="Y12" s="1" t="s">
        <v>42</v>
      </c>
      <c r="Z12" s="1" t="s">
        <v>57</v>
      </c>
      <c r="AA12" s="1" t="s">
        <v>35</v>
      </c>
      <c r="AB12" s="1" t="s">
        <v>42</v>
      </c>
      <c r="AC12" s="1" t="s">
        <v>42</v>
      </c>
      <c r="AD12" s="2" t="s">
        <v>41</v>
      </c>
      <c r="AE12" s="2" t="s">
        <v>41</v>
      </c>
      <c r="AF12" s="26" t="s">
        <v>54</v>
      </c>
      <c r="AG12" s="2" t="s">
        <v>41</v>
      </c>
      <c r="AH12" s="29" t="s">
        <v>41</v>
      </c>
      <c r="AI12" s="33"/>
      <c r="AJ12" s="40">
        <v>0</v>
      </c>
    </row>
    <row r="13" spans="1:36" ht="45" x14ac:dyDescent="0.25">
      <c r="A13" t="s">
        <v>51</v>
      </c>
      <c r="B13" s="32" t="s">
        <v>52</v>
      </c>
      <c r="C13" s="32" t="s">
        <v>60</v>
      </c>
      <c r="D13" s="32" t="str">
        <f t="shared" si="0"/>
        <v>All other types of #residences#, including #apartment hotels# and #affordable independent residences for seniors#</v>
      </c>
      <c r="E13" s="37" t="e" cm="1">
        <f t="array" aca="1" ref="E13" ca="1">MID(C13,FIND("(",C13,LOOKUP(2,1/(MID(C13,ROW(INDIRECT("1:"&amp;LEN(C13))),1)="("),ROW(INDIRECT("1:"&amp;LEN(C13)))))+1,FIND(")",C13,LOOKUP(2,1/(MID(C13,ROW(INDIRECT("1:"&amp;LEN(C13))),1)="("),ROW(INDIRECT("1:"&amp;LEN(C13)))))-FIND("(",C13,LOOKUP(2,1/(MID(C13,ROW(INDIRECT("1:"&amp;LEN(C13))),1)="("),ROW(INDIRECT("1:"&amp;LEN(C13)))))-1)</f>
        <v>#N/A</v>
      </c>
      <c r="F13" s="37"/>
      <c r="G13" s="37"/>
      <c r="H13" s="37"/>
      <c r="I13" s="37"/>
      <c r="J13" s="37"/>
      <c r="K13" s="44" t="s">
        <v>510</v>
      </c>
      <c r="L13" s="22" t="s">
        <v>56</v>
      </c>
      <c r="M13" s="20" t="s">
        <v>56</v>
      </c>
      <c r="N13" s="20" t="s">
        <v>56</v>
      </c>
      <c r="O13" s="20" t="s">
        <v>56</v>
      </c>
      <c r="P13" s="20" t="s">
        <v>56</v>
      </c>
      <c r="Q13" s="20" t="s">
        <v>42</v>
      </c>
      <c r="R13" s="20" t="s">
        <v>42</v>
      </c>
      <c r="S13" s="20" t="s">
        <v>42</v>
      </c>
      <c r="T13" s="20" t="s">
        <v>42</v>
      </c>
      <c r="U13" s="20" t="s">
        <v>42</v>
      </c>
      <c r="V13" s="1" t="s">
        <v>42</v>
      </c>
      <c r="W13" s="28" t="s">
        <v>42</v>
      </c>
      <c r="X13" s="1" t="s">
        <v>42</v>
      </c>
      <c r="Y13" s="1" t="s">
        <v>42</v>
      </c>
      <c r="Z13" s="1" t="s">
        <v>57</v>
      </c>
      <c r="AA13" s="1" t="s">
        <v>35</v>
      </c>
      <c r="AB13" s="1" t="s">
        <v>42</v>
      </c>
      <c r="AC13" s="1" t="s">
        <v>42</v>
      </c>
      <c r="AD13" s="2" t="s">
        <v>41</v>
      </c>
      <c r="AE13" s="2" t="s">
        <v>41</v>
      </c>
      <c r="AF13" s="26" t="s">
        <v>54</v>
      </c>
      <c r="AG13" s="2" t="s">
        <v>41</v>
      </c>
      <c r="AH13" s="29" t="s">
        <v>41</v>
      </c>
      <c r="AI13" s="33"/>
      <c r="AJ13" s="40">
        <v>0</v>
      </c>
    </row>
    <row r="14" spans="1:36" ht="30" x14ac:dyDescent="0.25">
      <c r="A14" t="s">
        <v>61</v>
      </c>
      <c r="B14" s="32" t="s">
        <v>62</v>
      </c>
      <c r="C14" s="32" t="s">
        <v>63</v>
      </c>
      <c r="D14" s="32" t="str">
        <f t="shared" si="0"/>
        <v>College or school student dormitories and fraternity or sorority student houses</v>
      </c>
      <c r="E14" s="37" t="e" cm="1">
        <f t="array" aca="1" ref="E14" ca="1">MID(C14,FIND("(",C14,LOOKUP(2,1/(MID(C14,ROW(INDIRECT("1:"&amp;LEN(C14))),1)="("),ROW(INDIRECT("1:"&amp;LEN(C14)))))+1,FIND(")",C14,LOOKUP(2,1/(MID(C14,ROW(INDIRECT("1:"&amp;LEN(C14))),1)="("),ROW(INDIRECT("1:"&amp;LEN(C14)))))-FIND("(",C14,LOOKUP(2,1/(MID(C14,ROW(INDIRECT("1:"&amp;LEN(C14))),1)="("),ROW(INDIRECT("1:"&amp;LEN(C14)))))-1)</f>
        <v>#N/A</v>
      </c>
      <c r="F14" s="37"/>
      <c r="G14" s="37"/>
      <c r="H14" s="37"/>
      <c r="I14" s="37"/>
      <c r="J14" s="37"/>
      <c r="K14" s="44"/>
      <c r="L14" s="26" t="s">
        <v>47</v>
      </c>
      <c r="M14" s="1" t="s">
        <v>47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28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2" t="s">
        <v>41</v>
      </c>
      <c r="AF14" s="27" t="s">
        <v>41</v>
      </c>
      <c r="AG14" s="2" t="s">
        <v>41</v>
      </c>
      <c r="AH14" s="29" t="s">
        <v>41</v>
      </c>
      <c r="AI14" s="29" t="s">
        <v>64</v>
      </c>
      <c r="AJ14" s="40">
        <v>0</v>
      </c>
    </row>
    <row r="15" spans="1:36" ht="33" x14ac:dyDescent="0.25">
      <c r="A15" t="s">
        <v>61</v>
      </c>
      <c r="B15" s="32" t="s">
        <v>65</v>
      </c>
      <c r="C15" s="32" t="s">
        <v>66</v>
      </c>
      <c r="D15" s="32" t="str">
        <f t="shared" si="0"/>
        <v>Monasteries, convents or novitiates</v>
      </c>
      <c r="E15" s="37" t="e" cm="1">
        <f t="array" aca="1" ref="E15" ca="1">MID(C15,FIND("(",C15,LOOKUP(2,1/(MID(C15,ROW(INDIRECT("1:"&amp;LEN(C15))),1)="("),ROW(INDIRECT("1:"&amp;LEN(C15)))))+1,FIND(")",C15,LOOKUP(2,1/(MID(C15,ROW(INDIRECT("1:"&amp;LEN(C15))),1)="("),ROW(INDIRECT("1:"&amp;LEN(C15)))))-FIND("(",C15,LOOKUP(2,1/(MID(C15,ROW(INDIRECT("1:"&amp;LEN(C15))),1)="("),ROW(INDIRECT("1:"&amp;LEN(C15)))))-1)</f>
        <v>#N/A</v>
      </c>
      <c r="F15" s="37"/>
      <c r="G15" s="37"/>
      <c r="H15" s="37"/>
      <c r="I15" s="37"/>
      <c r="J15" s="37"/>
      <c r="K15" s="37"/>
      <c r="L15" s="26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28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35</v>
      </c>
      <c r="AF15" s="27" t="s">
        <v>41</v>
      </c>
      <c r="AG15" s="2" t="s">
        <v>41</v>
      </c>
      <c r="AH15" s="29" t="s">
        <v>41</v>
      </c>
      <c r="AI15" s="29" t="s">
        <v>43</v>
      </c>
      <c r="AJ15" s="40">
        <v>0</v>
      </c>
    </row>
    <row r="16" spans="1:36" ht="30" x14ac:dyDescent="0.25">
      <c r="A16" t="s">
        <v>61</v>
      </c>
      <c r="B16" s="32" t="s">
        <v>65</v>
      </c>
      <c r="C16" s="32" t="s">
        <v>67</v>
      </c>
      <c r="D16" s="32" t="str">
        <f t="shared" si="0"/>
        <v>Rectories or parish houses with sleeping accommodations</v>
      </c>
      <c r="E16" s="37" t="e" cm="1">
        <f t="array" aca="1" ref="E16" ca="1">MID(C16,FIND("(",C16,LOOKUP(2,1/(MID(C16,ROW(INDIRECT("1:"&amp;LEN(C16))),1)="("),ROW(INDIRECT("1:"&amp;LEN(C16)))))+1,FIND(")",C16,LOOKUP(2,1/(MID(C16,ROW(INDIRECT("1:"&amp;LEN(C16))),1)="("),ROW(INDIRECT("1:"&amp;LEN(C16)))))-FIND("(",C16,LOOKUP(2,1/(MID(C16,ROW(INDIRECT("1:"&amp;LEN(C16))),1)="("),ROW(INDIRECT("1:"&amp;LEN(C16)))))-1)</f>
        <v>#N/A</v>
      </c>
      <c r="F16" s="37"/>
      <c r="G16" s="37"/>
      <c r="H16" s="37"/>
      <c r="I16" s="37"/>
      <c r="J16" s="37"/>
      <c r="K16" s="37"/>
      <c r="L16" s="26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28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27" t="s">
        <v>41</v>
      </c>
      <c r="AG16" s="2" t="s">
        <v>41</v>
      </c>
      <c r="AH16" s="29" t="s">
        <v>41</v>
      </c>
      <c r="AI16" s="29" t="s">
        <v>43</v>
      </c>
      <c r="AJ16" s="40">
        <v>0</v>
      </c>
    </row>
    <row r="17" spans="1:36" ht="30" x14ac:dyDescent="0.25">
      <c r="A17" t="s">
        <v>61</v>
      </c>
      <c r="B17" s="32" t="s">
        <v>65</v>
      </c>
      <c r="C17" s="32" t="s">
        <v>68</v>
      </c>
      <c r="D17" s="32" t="str">
        <f t="shared" si="0"/>
        <v>Seminaries with sleeping accommodations</v>
      </c>
      <c r="E17" s="37" t="e" cm="1">
        <f t="array" aca="1" ref="E17" ca="1">MID(C17,FIND("(",C17,LOOKUP(2,1/(MID(C17,ROW(INDIRECT("1:"&amp;LEN(C17))),1)="("),ROW(INDIRECT("1:"&amp;LEN(C17)))))+1,FIND(")",C17,LOOKUP(2,1/(MID(C17,ROW(INDIRECT("1:"&amp;LEN(C17))),1)="("),ROW(INDIRECT("1:"&amp;LEN(C17)))))-FIND("(",C17,LOOKUP(2,1/(MID(C17,ROW(INDIRECT("1:"&amp;LEN(C17))),1)="("),ROW(INDIRECT("1:"&amp;LEN(C17)))))-1)</f>
        <v>#N/A</v>
      </c>
      <c r="F17" s="37"/>
      <c r="G17" s="37"/>
      <c r="H17" s="37"/>
      <c r="I17" s="37"/>
      <c r="J17" s="37"/>
      <c r="K17" s="37"/>
      <c r="L17" s="26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28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27" t="s">
        <v>41</v>
      </c>
      <c r="AG17" s="2" t="s">
        <v>41</v>
      </c>
      <c r="AH17" s="29" t="s">
        <v>41</v>
      </c>
      <c r="AI17" s="29" t="s">
        <v>69</v>
      </c>
      <c r="AJ17" s="40">
        <v>0</v>
      </c>
    </row>
    <row r="18" spans="1:36" ht="45" x14ac:dyDescent="0.25">
      <c r="A18" t="s">
        <v>61</v>
      </c>
      <c r="B18" s="32" t="s">
        <v>70</v>
      </c>
      <c r="C18" s="32" t="s">
        <v>71</v>
      </c>
      <c r="D18" s="32" t="str">
        <f t="shared" si="0"/>
        <v>#Long-term care facilities#</v>
      </c>
      <c r="E18" s="37" t="e" cm="1">
        <f t="array" aca="1" ref="E18" ca="1">MID(C18,FIND("(",C18,LOOKUP(2,1/(MID(C18,ROW(INDIRECT("1:"&amp;LEN(C18))),1)="("),ROW(INDIRECT("1:"&amp;LEN(C18)))))+1,FIND(")",C18,LOOKUP(2,1/(MID(C18,ROW(INDIRECT("1:"&amp;LEN(C18))),1)="("),ROW(INDIRECT("1:"&amp;LEN(C18)))))-FIND("(",C18,LOOKUP(2,1/(MID(C18,ROW(INDIRECT("1:"&amp;LEN(C18))),1)="("),ROW(INDIRECT("1:"&amp;LEN(C18)))))-1)</f>
        <v>#N/A</v>
      </c>
      <c r="F18" s="37"/>
      <c r="G18" s="37"/>
      <c r="H18" s="37"/>
      <c r="I18" s="37"/>
      <c r="J18" s="37"/>
      <c r="K18" s="44" t="s">
        <v>512</v>
      </c>
      <c r="L18" s="26" t="s">
        <v>47</v>
      </c>
      <c r="M18" s="1" t="s">
        <v>47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28" t="s">
        <v>35</v>
      </c>
      <c r="X18" s="1" t="s">
        <v>35</v>
      </c>
      <c r="Y18" s="1" t="s">
        <v>35</v>
      </c>
      <c r="Z18" s="1" t="s">
        <v>35</v>
      </c>
      <c r="AA18" s="1" t="s">
        <v>35</v>
      </c>
      <c r="AB18" s="1" t="s">
        <v>35</v>
      </c>
      <c r="AC18" s="1" t="s">
        <v>35</v>
      </c>
      <c r="AD18" s="1" t="s">
        <v>35</v>
      </c>
      <c r="AE18" s="2" t="s">
        <v>41</v>
      </c>
      <c r="AF18" s="27" t="s">
        <v>41</v>
      </c>
      <c r="AG18" s="2" t="s">
        <v>41</v>
      </c>
      <c r="AH18" s="29" t="s">
        <v>41</v>
      </c>
      <c r="AI18" s="29" t="s">
        <v>72</v>
      </c>
      <c r="AJ18" s="40">
        <v>0</v>
      </c>
    </row>
    <row r="19" spans="1:36" ht="45" x14ac:dyDescent="0.25">
      <c r="A19" t="s">
        <v>61</v>
      </c>
      <c r="B19" s="32" t="s">
        <v>70</v>
      </c>
      <c r="C19" s="32" t="s">
        <v>73</v>
      </c>
      <c r="D19" s="32" t="str">
        <f t="shared" si="0"/>
        <v>#Non-profit hospital staff dwellings#</v>
      </c>
      <c r="E19" s="37" t="e" cm="1">
        <f t="array" aca="1" ref="E19" ca="1">MID(C19,FIND("(",C19,LOOKUP(2,1/(MID(C19,ROW(INDIRECT("1:"&amp;LEN(C19))),1)="("),ROW(INDIRECT("1:"&amp;LEN(C19)))))+1,FIND(")",C19,LOOKUP(2,1/(MID(C19,ROW(INDIRECT("1:"&amp;LEN(C19))),1)="("),ROW(INDIRECT("1:"&amp;LEN(C19)))))-FIND("(",C19,LOOKUP(2,1/(MID(C19,ROW(INDIRECT("1:"&amp;LEN(C19))),1)="("),ROW(INDIRECT("1:"&amp;LEN(C19)))))-1)</f>
        <v>#N/A</v>
      </c>
      <c r="F19" s="37"/>
      <c r="G19" s="37"/>
      <c r="H19" s="37"/>
      <c r="I19" s="37"/>
      <c r="J19" s="37"/>
      <c r="K19" s="44" t="s">
        <v>513</v>
      </c>
      <c r="L19" s="26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28" t="s">
        <v>35</v>
      </c>
      <c r="X19" s="1" t="s">
        <v>35</v>
      </c>
      <c r="Y19" s="1" t="s">
        <v>35</v>
      </c>
      <c r="Z19" s="1" t="s">
        <v>35</v>
      </c>
      <c r="AA19" s="1" t="s">
        <v>35</v>
      </c>
      <c r="AB19" s="1" t="s">
        <v>35</v>
      </c>
      <c r="AC19" s="1" t="s">
        <v>35</v>
      </c>
      <c r="AD19" s="1" t="s">
        <v>35</v>
      </c>
      <c r="AE19" s="1" t="s">
        <v>35</v>
      </c>
      <c r="AF19" s="27" t="s">
        <v>41</v>
      </c>
      <c r="AG19" s="2" t="s">
        <v>41</v>
      </c>
      <c r="AH19" s="29" t="s">
        <v>41</v>
      </c>
      <c r="AI19" s="29" t="s">
        <v>74</v>
      </c>
      <c r="AJ19" s="40">
        <v>0</v>
      </c>
    </row>
    <row r="20" spans="1:36" ht="30" x14ac:dyDescent="0.25">
      <c r="A20" t="s">
        <v>61</v>
      </c>
      <c r="B20" s="32" t="s">
        <v>75</v>
      </c>
      <c r="C20" s="25" t="s">
        <v>76</v>
      </c>
      <c r="D20" s="32" t="str">
        <f t="shared" si="0"/>
        <v>Community centers or settlement houses with sleeping accommodations</v>
      </c>
      <c r="E20" s="37" t="e" cm="1">
        <f t="array" aca="1" ref="E20" ca="1">MID(C20,FIND("(",C20,LOOKUP(2,1/(MID(C20,ROW(INDIRECT("1:"&amp;LEN(C20))),1)="("),ROW(INDIRECT("1:"&amp;LEN(C20)))))+1,FIND(")",C20,LOOKUP(2,1/(MID(C20,ROW(INDIRECT("1:"&amp;LEN(C20))),1)="("),ROW(INDIRECT("1:"&amp;LEN(C20)))))-FIND("(",C20,LOOKUP(2,1/(MID(C20,ROW(INDIRECT("1:"&amp;LEN(C20))),1)="("),ROW(INDIRECT("1:"&amp;LEN(C20)))))-1)</f>
        <v>#N/A</v>
      </c>
      <c r="F20" s="37"/>
      <c r="G20" s="37"/>
      <c r="H20" s="43"/>
      <c r="I20" s="43"/>
      <c r="J20" s="43"/>
      <c r="K20" s="43"/>
      <c r="L20" s="26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28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28" t="s">
        <v>42</v>
      </c>
      <c r="AF20" s="27" t="s">
        <v>41</v>
      </c>
      <c r="AG20" s="2" t="s">
        <v>41</v>
      </c>
      <c r="AH20" s="29" t="s">
        <v>41</v>
      </c>
      <c r="AI20" s="28" t="s">
        <v>77</v>
      </c>
      <c r="AJ20" s="40">
        <v>0</v>
      </c>
    </row>
    <row r="21" spans="1:36" ht="33" x14ac:dyDescent="0.25">
      <c r="A21" t="s">
        <v>61</v>
      </c>
      <c r="B21" s="32" t="s">
        <v>75</v>
      </c>
      <c r="C21" s="5" t="s">
        <v>78</v>
      </c>
      <c r="D21" s="32" t="str">
        <f t="shared" si="0"/>
        <v>Non-commercial clubs with sleeping accommodations</v>
      </c>
      <c r="E21" s="37" t="e" cm="1">
        <f t="array" aca="1" ref="E21" ca="1">MID(C21,FIND("(",C21,LOOKUP(2,1/(MID(C21,ROW(INDIRECT("1:"&amp;LEN(C21))),1)="("),ROW(INDIRECT("1:"&amp;LEN(C21)))))+1,FIND(")",C21,LOOKUP(2,1/(MID(C21,ROW(INDIRECT("1:"&amp;LEN(C21))),1)="("),ROW(INDIRECT("1:"&amp;LEN(C21)))))-FIND("(",C21,LOOKUP(2,1/(MID(C21,ROW(INDIRECT("1:"&amp;LEN(C21))),1)="("),ROW(INDIRECT("1:"&amp;LEN(C21)))))-1)</f>
        <v>#N/A</v>
      </c>
      <c r="F21" s="37"/>
      <c r="G21" s="37"/>
      <c r="H21" s="37"/>
      <c r="I21" s="37"/>
      <c r="J21" s="37"/>
      <c r="K21" s="37"/>
      <c r="L21" s="1" t="s">
        <v>47</v>
      </c>
      <c r="M21" s="1" t="s">
        <v>47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28" t="s">
        <v>35</v>
      </c>
      <c r="X21" s="1" t="s">
        <v>35</v>
      </c>
      <c r="Y21" s="1" t="s">
        <v>35</v>
      </c>
      <c r="Z21" s="1" t="s">
        <v>35</v>
      </c>
      <c r="AA21" s="1" t="s">
        <v>35</v>
      </c>
      <c r="AB21" s="1" t="s">
        <v>35</v>
      </c>
      <c r="AC21" s="1" t="s">
        <v>35</v>
      </c>
      <c r="AD21" s="1" t="s">
        <v>35</v>
      </c>
      <c r="AE21" s="28" t="s">
        <v>35</v>
      </c>
      <c r="AF21" s="2" t="s">
        <v>41</v>
      </c>
      <c r="AG21" s="2" t="s">
        <v>41</v>
      </c>
      <c r="AH21" s="29" t="s">
        <v>41</v>
      </c>
      <c r="AI21" s="29" t="s">
        <v>79</v>
      </c>
      <c r="AJ21" s="40">
        <v>0</v>
      </c>
    </row>
    <row r="22" spans="1:36" ht="33" x14ac:dyDescent="0.25">
      <c r="A22" t="s">
        <v>61</v>
      </c>
      <c r="B22" s="32" t="s">
        <v>75</v>
      </c>
      <c r="C22" s="4" t="s">
        <v>80</v>
      </c>
      <c r="D22" s="32" t="str">
        <f t="shared" si="0"/>
        <v>Philanthropic or non-profit institutions with sleeping accommodations</v>
      </c>
      <c r="E22" s="37" t="e" cm="1">
        <f t="array" aca="1" ref="E22" ca="1">MID(C22,FIND("(",C22,LOOKUP(2,1/(MID(C22,ROW(INDIRECT("1:"&amp;LEN(C22))),1)="("),ROW(INDIRECT("1:"&amp;LEN(C22)))))+1,FIND(")",C22,LOOKUP(2,1/(MID(C22,ROW(INDIRECT("1:"&amp;LEN(C22))),1)="("),ROW(INDIRECT("1:"&amp;LEN(C22)))))-FIND("(",C22,LOOKUP(2,1/(MID(C22,ROW(INDIRECT("1:"&amp;LEN(C22))),1)="("),ROW(INDIRECT("1:"&amp;LEN(C22)))))-1)</f>
        <v>#N/A</v>
      </c>
      <c r="F22" s="37"/>
      <c r="G22" s="37"/>
      <c r="H22" s="37"/>
      <c r="I22" s="37"/>
      <c r="J22" s="37"/>
      <c r="K22" s="37"/>
      <c r="L22" s="26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81</v>
      </c>
      <c r="W22" s="28" t="s">
        <v>81</v>
      </c>
      <c r="X22" s="1" t="s">
        <v>81</v>
      </c>
      <c r="Y22" s="1" t="s">
        <v>81</v>
      </c>
      <c r="Z22" s="1" t="s">
        <v>81</v>
      </c>
      <c r="AA22" s="1" t="s">
        <v>81</v>
      </c>
      <c r="AB22" s="1" t="s">
        <v>81</v>
      </c>
      <c r="AC22" s="1" t="s">
        <v>81</v>
      </c>
      <c r="AD22" s="1" t="s">
        <v>81</v>
      </c>
      <c r="AE22" s="2" t="s">
        <v>41</v>
      </c>
      <c r="AF22" s="27" t="s">
        <v>41</v>
      </c>
      <c r="AG22" s="2" t="s">
        <v>41</v>
      </c>
      <c r="AH22" s="29" t="s">
        <v>41</v>
      </c>
      <c r="AI22" s="29" t="s">
        <v>77</v>
      </c>
      <c r="AJ22" s="40">
        <v>0</v>
      </c>
    </row>
    <row r="23" spans="1:36" ht="45" x14ac:dyDescent="0.25">
      <c r="A23" t="s">
        <v>82</v>
      </c>
      <c r="B23" s="32" t="s">
        <v>62</v>
      </c>
      <c r="C23" s="5" t="s">
        <v>83</v>
      </c>
      <c r="D23" s="32" t="str">
        <f t="shared" si="0"/>
        <v>Colleges or universities, including professional schools but excluding business colleges or trade schools</v>
      </c>
      <c r="E23" s="37" t="e" cm="1">
        <f t="array" aca="1" ref="E23" ca="1">MID(C23,FIND("(",C23,LOOKUP(2,1/(MID(C23,ROW(INDIRECT("1:"&amp;LEN(C23))),1)="("),ROW(INDIRECT("1:"&amp;LEN(C23)))))+1,FIND(")",C23,LOOKUP(2,1/(MID(C23,ROW(INDIRECT("1:"&amp;LEN(C23))),1)="("),ROW(INDIRECT("1:"&amp;LEN(C23)))))-FIND("(",C23,LOOKUP(2,1/(MID(C23,ROW(INDIRECT("1:"&amp;LEN(C23))),1)="("),ROW(INDIRECT("1:"&amp;LEN(C23)))))-1)</f>
        <v>#N/A</v>
      </c>
      <c r="F23" s="37"/>
      <c r="G23" s="37"/>
      <c r="H23" s="37"/>
      <c r="I23" s="37"/>
      <c r="J23" s="37"/>
      <c r="K23" s="37"/>
      <c r="L23" s="26" t="s">
        <v>47</v>
      </c>
      <c r="M23" s="1" t="s">
        <v>47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28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2" t="s">
        <v>41</v>
      </c>
      <c r="AF23" s="27" t="s">
        <v>41</v>
      </c>
      <c r="AG23" s="2" t="s">
        <v>41</v>
      </c>
      <c r="AH23" s="29" t="s">
        <v>41</v>
      </c>
      <c r="AI23" s="29" t="s">
        <v>84</v>
      </c>
      <c r="AJ23" s="40">
        <v>0</v>
      </c>
    </row>
    <row r="24" spans="1:36" ht="30" x14ac:dyDescent="0.25">
      <c r="A24" t="s">
        <v>82</v>
      </c>
      <c r="B24" s="32" t="s">
        <v>62</v>
      </c>
      <c r="C24" s="34" t="s">
        <v>85</v>
      </c>
      <c r="D24" s="32" t="str">
        <f t="shared" si="0"/>
        <v>#Schools#</v>
      </c>
      <c r="E24" s="37" t="e" cm="1">
        <f t="array" aca="1" ref="E24" ca="1">MID(C24,FIND("(",C24,LOOKUP(2,1/(MID(C24,ROW(INDIRECT("1:"&amp;LEN(C24))),1)="("),ROW(INDIRECT("1:"&amp;LEN(C24)))))+1,FIND(")",C24,LOOKUP(2,1/(MID(C24,ROW(INDIRECT("1:"&amp;LEN(C24))),1)="("),ROW(INDIRECT("1:"&amp;LEN(C24)))))-FIND("(",C24,LOOKUP(2,1/(MID(C24,ROW(INDIRECT("1:"&amp;LEN(C24))),1)="("),ROW(INDIRECT("1:"&amp;LEN(C24)))))-1)</f>
        <v>#N/A</v>
      </c>
      <c r="F24" s="37"/>
      <c r="G24" s="37"/>
      <c r="H24" s="37"/>
      <c r="I24" s="37"/>
      <c r="J24" s="37"/>
      <c r="K24" s="44" t="s">
        <v>511</v>
      </c>
      <c r="L24" s="26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28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47</v>
      </c>
      <c r="AF24" s="26" t="s">
        <v>47</v>
      </c>
      <c r="AG24" s="2" t="s">
        <v>41</v>
      </c>
      <c r="AH24" s="29" t="s">
        <v>41</v>
      </c>
      <c r="AI24" s="29" t="s">
        <v>38</v>
      </c>
      <c r="AJ24" s="40">
        <v>0</v>
      </c>
    </row>
    <row r="25" spans="1:36" ht="60" x14ac:dyDescent="0.25">
      <c r="A25" t="s">
        <v>82</v>
      </c>
      <c r="B25" s="32" t="s">
        <v>62</v>
      </c>
      <c r="C25" s="34" t="s">
        <v>494</v>
      </c>
      <c r="D25" s="32" t="str">
        <f t="shared" si="0"/>
        <v>Child care centers*</v>
      </c>
      <c r="E25" s="37" t="e" cm="1">
        <f t="array" aca="1" ref="E25" ca="1">MID(C25,FIND("(",C25,LOOKUP(2,1/(MID(C25,ROW(INDIRECT("1:"&amp;LEN(C25))),1)="("),ROW(INDIRECT("1:"&amp;LEN(C25)))))+1,FIND(")",C25,LOOKUP(2,1/(MID(C25,ROW(INDIRECT("1:"&amp;LEN(C25))),1)="("),ROW(INDIRECT("1:"&amp;LEN(C25)))))-FIND("(",C25,LOOKUP(2,1/(MID(C25,ROW(INDIRECT("1:"&amp;LEN(C25))),1)="("),ROW(INDIRECT("1:"&amp;LEN(C25)))))-1)</f>
        <v>#N/A</v>
      </c>
      <c r="F25" s="37"/>
      <c r="G25" s="37"/>
      <c r="H25" s="37"/>
      <c r="I25" s="37"/>
      <c r="J25" s="37"/>
      <c r="K25" s="37" t="s">
        <v>504</v>
      </c>
      <c r="L25" s="26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28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47</v>
      </c>
      <c r="AF25" s="26" t="s">
        <v>47</v>
      </c>
      <c r="AG25" s="2" t="s">
        <v>41</v>
      </c>
      <c r="AH25" s="29" t="s">
        <v>41</v>
      </c>
      <c r="AI25" s="29" t="s">
        <v>38</v>
      </c>
      <c r="AJ25" s="40">
        <v>0</v>
      </c>
    </row>
    <row r="26" spans="1:36" ht="30" x14ac:dyDescent="0.25">
      <c r="A26" t="s">
        <v>82</v>
      </c>
      <c r="B26" s="32" t="s">
        <v>65</v>
      </c>
      <c r="C26" s="34" t="s">
        <v>86</v>
      </c>
      <c r="D26" s="32" t="str">
        <f t="shared" si="0"/>
        <v>Houses of worship</v>
      </c>
      <c r="E26" s="37" t="e" cm="1">
        <f t="array" aca="1" ref="E26" ca="1">MID(C26,FIND("(",C26,LOOKUP(2,1/(MID(C26,ROW(INDIRECT("1:"&amp;LEN(C26))),1)="("),ROW(INDIRECT("1:"&amp;LEN(C26)))))+1,FIND(")",C26,LOOKUP(2,1/(MID(C26,ROW(INDIRECT("1:"&amp;LEN(C26))),1)="("),ROW(INDIRECT("1:"&amp;LEN(C26)))))-FIND("(",C26,LOOKUP(2,1/(MID(C26,ROW(INDIRECT("1:"&amp;LEN(C26))),1)="("),ROW(INDIRECT("1:"&amp;LEN(C26)))))-1)</f>
        <v>#N/A</v>
      </c>
      <c r="F26" s="37"/>
      <c r="G26" s="37"/>
      <c r="H26" s="37"/>
      <c r="I26" s="37"/>
      <c r="J26" s="37"/>
      <c r="K26" s="37"/>
      <c r="L26" s="26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28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26" t="s">
        <v>42</v>
      </c>
      <c r="AG26" s="2" t="s">
        <v>41</v>
      </c>
      <c r="AH26" s="29" t="s">
        <v>41</v>
      </c>
      <c r="AI26" s="29" t="s">
        <v>43</v>
      </c>
      <c r="AJ26" s="40">
        <v>0</v>
      </c>
    </row>
    <row r="27" spans="1:36" ht="30" x14ac:dyDescent="0.25">
      <c r="A27" t="s">
        <v>82</v>
      </c>
      <c r="B27" s="32" t="s">
        <v>65</v>
      </c>
      <c r="C27" s="34" t="s">
        <v>87</v>
      </c>
      <c r="D27" s="32" t="str">
        <f t="shared" si="0"/>
        <v>Parish houses without sleeping accommodations</v>
      </c>
      <c r="E27" s="37" t="e" cm="1">
        <f t="array" aca="1" ref="E27" ca="1">MID(C27,FIND("(",C27,LOOKUP(2,1/(MID(C27,ROW(INDIRECT("1:"&amp;LEN(C27))),1)="("),ROW(INDIRECT("1:"&amp;LEN(C27)))))+1,FIND(")",C27,LOOKUP(2,1/(MID(C27,ROW(INDIRECT("1:"&amp;LEN(C27))),1)="("),ROW(INDIRECT("1:"&amp;LEN(C27)))))-FIND("(",C27,LOOKUP(2,1/(MID(C27,ROW(INDIRECT("1:"&amp;LEN(C27))),1)="("),ROW(INDIRECT("1:"&amp;LEN(C27)))))-1)</f>
        <v>#N/A</v>
      </c>
      <c r="F27" s="37"/>
      <c r="G27" s="37"/>
      <c r="H27" s="37"/>
      <c r="I27" s="37"/>
      <c r="J27" s="37"/>
      <c r="K27" s="37"/>
      <c r="L27" s="26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28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27" t="s">
        <v>88</v>
      </c>
      <c r="AG27" s="2" t="s">
        <v>41</v>
      </c>
      <c r="AH27" s="29" t="s">
        <v>41</v>
      </c>
      <c r="AI27" s="29" t="s">
        <v>43</v>
      </c>
      <c r="AJ27" s="40">
        <v>0</v>
      </c>
    </row>
    <row r="28" spans="1:36" ht="30" x14ac:dyDescent="0.25">
      <c r="A28" t="s">
        <v>82</v>
      </c>
      <c r="B28" s="32" t="s">
        <v>65</v>
      </c>
      <c r="C28" s="34" t="s">
        <v>89</v>
      </c>
      <c r="D28" s="32" t="str">
        <f t="shared" si="0"/>
        <v>Seminaries without sleeping accommodations</v>
      </c>
      <c r="E28" s="37" t="e" cm="1">
        <f t="array" aca="1" ref="E28" ca="1">MID(C28,FIND("(",C28,LOOKUP(2,1/(MID(C28,ROW(INDIRECT("1:"&amp;LEN(C28))),1)="("),ROW(INDIRECT("1:"&amp;LEN(C28)))))+1,FIND(")",C28,LOOKUP(2,1/(MID(C28,ROW(INDIRECT("1:"&amp;LEN(C28))),1)="("),ROW(INDIRECT("1:"&amp;LEN(C28)))))-FIND("(",C28,LOOKUP(2,1/(MID(C28,ROW(INDIRECT("1:"&amp;LEN(C28))),1)="("),ROW(INDIRECT("1:"&amp;LEN(C28)))))-1)</f>
        <v>#N/A</v>
      </c>
      <c r="F28" s="37"/>
      <c r="G28" s="37"/>
      <c r="H28" s="37"/>
      <c r="I28" s="37"/>
      <c r="J28" s="37"/>
      <c r="K28" s="37"/>
      <c r="L28" s="26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28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27" t="s">
        <v>88</v>
      </c>
      <c r="AG28" s="2" t="s">
        <v>41</v>
      </c>
      <c r="AH28" s="29" t="s">
        <v>41</v>
      </c>
      <c r="AI28" s="29" t="s">
        <v>84</v>
      </c>
      <c r="AJ28" s="40">
        <v>0</v>
      </c>
    </row>
    <row r="29" spans="1:36" ht="33" x14ac:dyDescent="0.25">
      <c r="A29" t="s">
        <v>82</v>
      </c>
      <c r="B29" s="32" t="s">
        <v>70</v>
      </c>
      <c r="C29" s="34" t="s">
        <v>90</v>
      </c>
      <c r="D29" s="32" t="str">
        <f t="shared" si="0"/>
        <v>Ambulatory diagnostic or treatment health care facilities</v>
      </c>
      <c r="E29" s="37" t="e" cm="1">
        <f t="array" aca="1" ref="E29" ca="1">MID(C29,FIND("(",C29,LOOKUP(2,1/(MID(C29,ROW(INDIRECT("1:"&amp;LEN(C29))),1)="("),ROW(INDIRECT("1:"&amp;LEN(C29)))))+1,FIND(")",C29,LOOKUP(2,1/(MID(C29,ROW(INDIRECT("1:"&amp;LEN(C29))),1)="("),ROW(INDIRECT("1:"&amp;LEN(C29)))))-FIND("(",C29,LOOKUP(2,1/(MID(C29,ROW(INDIRECT("1:"&amp;LEN(C29))),1)="("),ROW(INDIRECT("1:"&amp;LEN(C29)))))-1)</f>
        <v>#N/A</v>
      </c>
      <c r="F29" s="37"/>
      <c r="G29" s="37"/>
      <c r="H29" s="37"/>
      <c r="I29" s="37"/>
      <c r="J29" s="37"/>
      <c r="K29" s="37"/>
      <c r="L29" s="27" t="s">
        <v>41</v>
      </c>
      <c r="M29" s="2" t="s">
        <v>41</v>
      </c>
      <c r="N29" s="1" t="s">
        <v>91</v>
      </c>
      <c r="O29" s="1" t="s">
        <v>91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28" t="s">
        <v>35</v>
      </c>
      <c r="X29" s="1" t="s">
        <v>35</v>
      </c>
      <c r="Y29" s="1" t="s">
        <v>35</v>
      </c>
      <c r="Z29" s="1" t="s">
        <v>35</v>
      </c>
      <c r="AA29" s="1" t="s">
        <v>35</v>
      </c>
      <c r="AB29" s="1" t="s">
        <v>35</v>
      </c>
      <c r="AC29" s="1" t="s">
        <v>35</v>
      </c>
      <c r="AD29" s="1" t="s">
        <v>35</v>
      </c>
      <c r="AE29" s="1" t="s">
        <v>35</v>
      </c>
      <c r="AF29" s="26" t="s">
        <v>35</v>
      </c>
      <c r="AG29" s="2" t="s">
        <v>41</v>
      </c>
      <c r="AH29" s="29" t="s">
        <v>41</v>
      </c>
      <c r="AI29" s="29" t="s">
        <v>92</v>
      </c>
      <c r="AJ29" s="40">
        <v>0</v>
      </c>
    </row>
    <row r="30" spans="1:36" ht="33" x14ac:dyDescent="0.25">
      <c r="A30" t="s">
        <v>82</v>
      </c>
      <c r="B30" s="32" t="s">
        <v>70</v>
      </c>
      <c r="C30" s="34" t="s">
        <v>93</v>
      </c>
      <c r="D30" s="32" t="str">
        <f t="shared" si="0"/>
        <v>Non-profit or voluntary hospitals and related facilities, except animal hospitals</v>
      </c>
      <c r="E30" s="37" t="e" cm="1">
        <f t="array" aca="1" ref="E30" ca="1">MID(C30,FIND("(",C30,LOOKUP(2,1/(MID(C30,ROW(INDIRECT("1:"&amp;LEN(C30))),1)="("),ROW(INDIRECT("1:"&amp;LEN(C30)))))+1,FIND(")",C30,LOOKUP(2,1/(MID(C30,ROW(INDIRECT("1:"&amp;LEN(C30))),1)="("),ROW(INDIRECT("1:"&amp;LEN(C30)))))-FIND("(",C30,LOOKUP(2,1/(MID(C30,ROW(INDIRECT("1:"&amp;LEN(C30))),1)="("),ROW(INDIRECT("1:"&amp;LEN(C30)))))-1)</f>
        <v>#N/A</v>
      </c>
      <c r="F30" s="37"/>
      <c r="G30" s="37"/>
      <c r="H30" s="37"/>
      <c r="I30" s="37"/>
      <c r="J30" s="37"/>
      <c r="K30" s="37"/>
      <c r="L30" s="26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28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26" t="s">
        <v>35</v>
      </c>
      <c r="AG30" s="2" t="s">
        <v>41</v>
      </c>
      <c r="AH30" s="29" t="s">
        <v>41</v>
      </c>
      <c r="AI30" s="29" t="s">
        <v>94</v>
      </c>
      <c r="AJ30" s="40">
        <v>0</v>
      </c>
    </row>
    <row r="31" spans="1:36" ht="33" x14ac:dyDescent="0.25">
      <c r="A31" t="s">
        <v>82</v>
      </c>
      <c r="B31" s="32" t="s">
        <v>70</v>
      </c>
      <c r="C31" s="34" t="s">
        <v>95</v>
      </c>
      <c r="D31" s="32" t="str">
        <f t="shared" si="0"/>
        <v>Proprietary hospitals and related facilities, except animal hospitals</v>
      </c>
      <c r="E31" s="37" t="e" cm="1">
        <f t="array" aca="1" ref="E31" ca="1">MID(C31,FIND("(",C31,LOOKUP(2,1/(MID(C31,ROW(INDIRECT("1:"&amp;LEN(C31))),1)="("),ROW(INDIRECT("1:"&amp;LEN(C31)))))+1,FIND(")",C31,LOOKUP(2,1/(MID(C31,ROW(INDIRECT("1:"&amp;LEN(C31))),1)="("),ROW(INDIRECT("1:"&amp;LEN(C31)))))-FIND("(",C31,LOOKUP(2,1/(MID(C31,ROW(INDIRECT("1:"&amp;LEN(C31))),1)="("),ROW(INDIRECT("1:"&amp;LEN(C31)))))-1)</f>
        <v>#N/A</v>
      </c>
      <c r="F31" s="37"/>
      <c r="G31" s="37"/>
      <c r="H31" s="37"/>
      <c r="I31" s="37"/>
      <c r="J31" s="37"/>
      <c r="K31" s="37"/>
      <c r="L31" s="27" t="s">
        <v>41</v>
      </c>
      <c r="M31" s="2" t="s">
        <v>41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28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26" t="s">
        <v>35</v>
      </c>
      <c r="AG31" s="2" t="s">
        <v>41</v>
      </c>
      <c r="AH31" s="29" t="s">
        <v>41</v>
      </c>
      <c r="AI31" s="29" t="s">
        <v>94</v>
      </c>
      <c r="AJ31" s="40">
        <v>0</v>
      </c>
    </row>
    <row r="32" spans="1:36" ht="30" x14ac:dyDescent="0.25">
      <c r="A32" t="s">
        <v>82</v>
      </c>
      <c r="B32" s="32" t="s">
        <v>75</v>
      </c>
      <c r="C32" s="34" t="s">
        <v>96</v>
      </c>
      <c r="D32" s="32" t="str">
        <f t="shared" si="0"/>
        <v>Community centers or settlement houses without sleeping accommodations</v>
      </c>
      <c r="E32" s="37" t="e" cm="1">
        <f t="array" aca="1" ref="E32" ca="1">MID(C32,FIND("(",C32,LOOKUP(2,1/(MID(C32,ROW(INDIRECT("1:"&amp;LEN(C32))),1)="("),ROW(INDIRECT("1:"&amp;LEN(C32)))))+1,FIND(")",C32,LOOKUP(2,1/(MID(C32,ROW(INDIRECT("1:"&amp;LEN(C32))),1)="("),ROW(INDIRECT("1:"&amp;LEN(C32)))))-FIND("(",C32,LOOKUP(2,1/(MID(C32,ROW(INDIRECT("1:"&amp;LEN(C32))),1)="("),ROW(INDIRECT("1:"&amp;LEN(C32)))))-1)</f>
        <v>#N/A</v>
      </c>
      <c r="F32" s="37"/>
      <c r="G32" s="37"/>
      <c r="H32" s="37"/>
      <c r="I32" s="37"/>
      <c r="J32" s="37"/>
      <c r="K32" s="37"/>
      <c r="L32" s="26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28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27" t="s">
        <v>88</v>
      </c>
      <c r="AG32" s="2" t="s">
        <v>41</v>
      </c>
      <c r="AH32" s="29" t="s">
        <v>41</v>
      </c>
      <c r="AI32" s="29" t="s">
        <v>77</v>
      </c>
      <c r="AJ32" s="40">
        <v>0</v>
      </c>
    </row>
    <row r="33" spans="1:36" ht="30" x14ac:dyDescent="0.25">
      <c r="A33" t="s">
        <v>82</v>
      </c>
      <c r="B33" s="32" t="s">
        <v>75</v>
      </c>
      <c r="C33" s="34" t="s">
        <v>97</v>
      </c>
      <c r="D33" s="32" t="str">
        <f t="shared" si="0"/>
        <v>Libraries</v>
      </c>
      <c r="E33" s="37" t="e" cm="1">
        <f t="array" aca="1" ref="E33" ca="1">MID(C33,FIND("(",C33,LOOKUP(2,1/(MID(C33,ROW(INDIRECT("1:"&amp;LEN(C33))),1)="("),ROW(INDIRECT("1:"&amp;LEN(C33)))))+1,FIND(")",C33,LOOKUP(2,1/(MID(C33,ROW(INDIRECT("1:"&amp;LEN(C33))),1)="("),ROW(INDIRECT("1:"&amp;LEN(C33)))))-FIND("(",C33,LOOKUP(2,1/(MID(C33,ROW(INDIRECT("1:"&amp;LEN(C33))),1)="("),ROW(INDIRECT("1:"&amp;LEN(C33)))))-1)</f>
        <v>#N/A</v>
      </c>
      <c r="F33" s="37"/>
      <c r="G33" s="37"/>
      <c r="H33" s="37"/>
      <c r="I33" s="37"/>
      <c r="J33" s="37"/>
      <c r="K33" s="37"/>
      <c r="L33" s="26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28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2" t="s">
        <v>41</v>
      </c>
      <c r="AF33" s="27" t="s">
        <v>88</v>
      </c>
      <c r="AG33" s="2" t="s">
        <v>41</v>
      </c>
      <c r="AH33" s="29" t="s">
        <v>41</v>
      </c>
      <c r="AI33" s="29" t="s">
        <v>38</v>
      </c>
      <c r="AJ33" s="40">
        <v>0</v>
      </c>
    </row>
    <row r="34" spans="1:36" ht="33" x14ac:dyDescent="0.25">
      <c r="A34" t="s">
        <v>82</v>
      </c>
      <c r="B34" s="32" t="s">
        <v>75</v>
      </c>
      <c r="C34" s="34" t="s">
        <v>98</v>
      </c>
      <c r="D34" s="32" t="str">
        <f t="shared" si="0"/>
        <v>Museums</v>
      </c>
      <c r="E34" s="37" t="e" cm="1">
        <f t="array" aca="1" ref="E34" ca="1">MID(C34,FIND("(",C34,LOOKUP(2,1/(MID(C34,ROW(INDIRECT("1:"&amp;LEN(C34))),1)="("),ROW(INDIRECT("1:"&amp;LEN(C34)))))+1,FIND(")",C34,LOOKUP(2,1/(MID(C34,ROW(INDIRECT("1:"&amp;LEN(C34))),1)="("),ROW(INDIRECT("1:"&amp;LEN(C34)))))-FIND("(",C34,LOOKUP(2,1/(MID(C34,ROW(INDIRECT("1:"&amp;LEN(C34))),1)="("),ROW(INDIRECT("1:"&amp;LEN(C34)))))-1)</f>
        <v>#N/A</v>
      </c>
      <c r="F34" s="37"/>
      <c r="G34" s="37"/>
      <c r="H34" s="37"/>
      <c r="I34" s="37"/>
      <c r="J34" s="37"/>
      <c r="K34" s="37"/>
      <c r="L34" s="26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28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2" t="s">
        <v>41</v>
      </c>
      <c r="AF34" s="26" t="s">
        <v>35</v>
      </c>
      <c r="AG34" s="1" t="s">
        <v>35</v>
      </c>
      <c r="AH34" s="28" t="s">
        <v>35</v>
      </c>
      <c r="AI34" s="28" t="s">
        <v>38</v>
      </c>
      <c r="AJ34" s="40">
        <v>0</v>
      </c>
    </row>
    <row r="35" spans="1:36" ht="30" x14ac:dyDescent="0.25">
      <c r="A35" t="s">
        <v>82</v>
      </c>
      <c r="B35" s="32" t="s">
        <v>75</v>
      </c>
      <c r="C35" s="34" t="s">
        <v>99</v>
      </c>
      <c r="D35" s="32" t="str">
        <f t="shared" si="0"/>
        <v>Non-commercial art galleries</v>
      </c>
      <c r="E35" s="37" t="e" cm="1">
        <f t="array" aca="1" ref="E35" ca="1">MID(C35,FIND("(",C35,LOOKUP(2,1/(MID(C35,ROW(INDIRECT("1:"&amp;LEN(C35))),1)="("),ROW(INDIRECT("1:"&amp;LEN(C35)))))+1,FIND(")",C35,LOOKUP(2,1/(MID(C35,ROW(INDIRECT("1:"&amp;LEN(C35))),1)="("),ROW(INDIRECT("1:"&amp;LEN(C35)))))-FIND("(",C35,LOOKUP(2,1/(MID(C35,ROW(INDIRECT("1:"&amp;LEN(C35))),1)="("),ROW(INDIRECT("1:"&amp;LEN(C35)))))-1)</f>
        <v>#N/A</v>
      </c>
      <c r="F35" s="37"/>
      <c r="G35" s="37"/>
      <c r="H35" s="37"/>
      <c r="I35" s="37"/>
      <c r="J35" s="37"/>
      <c r="K35" s="37"/>
      <c r="L35" s="26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28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27" t="s">
        <v>88</v>
      </c>
      <c r="AG35" s="2" t="s">
        <v>41</v>
      </c>
      <c r="AH35" s="29" t="s">
        <v>41</v>
      </c>
      <c r="AI35" s="28" t="s">
        <v>38</v>
      </c>
      <c r="AJ35" s="40">
        <v>0</v>
      </c>
    </row>
    <row r="36" spans="1:36" ht="33" x14ac:dyDescent="0.25">
      <c r="A36" t="s">
        <v>82</v>
      </c>
      <c r="B36" s="32" t="s">
        <v>75</v>
      </c>
      <c r="C36" s="34" t="s">
        <v>100</v>
      </c>
      <c r="D36" s="32" t="str">
        <f t="shared" si="0"/>
        <v>Non-commercial clubs without sleeping accomodations</v>
      </c>
      <c r="E36" s="37" t="e" cm="1">
        <f t="array" aca="1" ref="E36" ca="1">MID(C36,FIND("(",C36,LOOKUP(2,1/(MID(C36,ROW(INDIRECT("1:"&amp;LEN(C36))),1)="("),ROW(INDIRECT("1:"&amp;LEN(C36)))))+1,FIND(")",C36,LOOKUP(2,1/(MID(C36,ROW(INDIRECT("1:"&amp;LEN(C36))),1)="("),ROW(INDIRECT("1:"&amp;LEN(C36)))))-FIND("(",C36,LOOKUP(2,1/(MID(C36,ROW(INDIRECT("1:"&amp;LEN(C36))),1)="("),ROW(INDIRECT("1:"&amp;LEN(C36)))))-1)</f>
        <v>#N/A</v>
      </c>
      <c r="F36" s="37"/>
      <c r="G36" s="37"/>
      <c r="H36" s="37"/>
      <c r="I36" s="37"/>
      <c r="J36" s="37"/>
      <c r="K36" s="37"/>
      <c r="L36" s="26" t="s">
        <v>47</v>
      </c>
      <c r="M36" s="1" t="s">
        <v>47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  <c r="S36" s="1" t="s">
        <v>35</v>
      </c>
      <c r="T36" s="1" t="s">
        <v>35</v>
      </c>
      <c r="U36" s="1" t="s">
        <v>35</v>
      </c>
      <c r="V36" s="1" t="s">
        <v>35</v>
      </c>
      <c r="W36" s="28" t="s">
        <v>35</v>
      </c>
      <c r="X36" s="1" t="s">
        <v>35</v>
      </c>
      <c r="Y36" s="1" t="s">
        <v>35</v>
      </c>
      <c r="Z36" s="1" t="s">
        <v>35</v>
      </c>
      <c r="AA36" s="1" t="s">
        <v>35</v>
      </c>
      <c r="AB36" s="1" t="s">
        <v>35</v>
      </c>
      <c r="AC36" s="1" t="s">
        <v>35</v>
      </c>
      <c r="AD36" s="1" t="s">
        <v>35</v>
      </c>
      <c r="AE36" s="1" t="s">
        <v>35</v>
      </c>
      <c r="AF36" s="27" t="s">
        <v>88</v>
      </c>
      <c r="AG36" s="2" t="s">
        <v>41</v>
      </c>
      <c r="AH36" s="29" t="s">
        <v>41</v>
      </c>
      <c r="AI36" s="29" t="s">
        <v>77</v>
      </c>
      <c r="AJ36" s="40">
        <v>0</v>
      </c>
    </row>
    <row r="37" spans="1:36" ht="30" x14ac:dyDescent="0.25">
      <c r="A37" t="s">
        <v>82</v>
      </c>
      <c r="B37" s="32" t="s">
        <v>75</v>
      </c>
      <c r="C37" s="34" t="s">
        <v>101</v>
      </c>
      <c r="D37" s="32" t="str">
        <f t="shared" si="0"/>
        <v>Non-commercial recreation centers</v>
      </c>
      <c r="E37" s="37" t="e" cm="1">
        <f t="array" aca="1" ref="E37" ca="1">MID(C37,FIND("(",C37,LOOKUP(2,1/(MID(C37,ROW(INDIRECT("1:"&amp;LEN(C37))),1)="("),ROW(INDIRECT("1:"&amp;LEN(C37)))))+1,FIND(")",C37,LOOKUP(2,1/(MID(C37,ROW(INDIRECT("1:"&amp;LEN(C37))),1)="("),ROW(INDIRECT("1:"&amp;LEN(C37)))))-FIND("(",C37,LOOKUP(2,1/(MID(C37,ROW(INDIRECT("1:"&amp;LEN(C37))),1)="("),ROW(INDIRECT("1:"&amp;LEN(C37)))))-1)</f>
        <v>#N/A</v>
      </c>
      <c r="F37" s="37"/>
      <c r="G37" s="37"/>
      <c r="H37" s="37"/>
      <c r="I37" s="37"/>
      <c r="J37" s="37"/>
      <c r="K37" s="37"/>
      <c r="L37" s="26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28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27" t="s">
        <v>88</v>
      </c>
      <c r="AG37" s="2" t="s">
        <v>41</v>
      </c>
      <c r="AH37" s="29" t="s">
        <v>41</v>
      </c>
      <c r="AI37" s="29" t="s">
        <v>77</v>
      </c>
      <c r="AJ37" s="40">
        <v>0</v>
      </c>
    </row>
    <row r="38" spans="1:36" ht="45" x14ac:dyDescent="0.25">
      <c r="A38" t="s">
        <v>82</v>
      </c>
      <c r="B38" s="32" t="s">
        <v>75</v>
      </c>
      <c r="C38" s="34" t="s">
        <v>102</v>
      </c>
      <c r="D38" s="32" t="str">
        <f t="shared" si="0"/>
        <v>Philanthropic or non-profit institutions without sleeping accommodations, excluding ambulatory diagnostic or treatment health care facilities</v>
      </c>
      <c r="E38" s="37" t="e" cm="1">
        <f t="array" aca="1" ref="E38" ca="1">MID(C38,FIND("(",C38,LOOKUP(2,1/(MID(C38,ROW(INDIRECT("1:"&amp;LEN(C38))),1)="("),ROW(INDIRECT("1:"&amp;LEN(C38)))))+1,FIND(")",C38,LOOKUP(2,1/(MID(C38,ROW(INDIRECT("1:"&amp;LEN(C38))),1)="("),ROW(INDIRECT("1:"&amp;LEN(C38)))))-FIND("(",C38,LOOKUP(2,1/(MID(C38,ROW(INDIRECT("1:"&amp;LEN(C38))),1)="("),ROW(INDIRECT("1:"&amp;LEN(C38)))))-1)</f>
        <v>#N/A</v>
      </c>
      <c r="F38" s="37"/>
      <c r="G38" s="37"/>
      <c r="H38" s="37"/>
      <c r="I38" s="37"/>
      <c r="J38" s="37"/>
      <c r="K38" s="37"/>
      <c r="L38" s="26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81</v>
      </c>
      <c r="W38" s="28" t="s">
        <v>81</v>
      </c>
      <c r="X38" s="1" t="s">
        <v>81</v>
      </c>
      <c r="Y38" s="1" t="s">
        <v>81</v>
      </c>
      <c r="Z38" s="1" t="s">
        <v>81</v>
      </c>
      <c r="AA38" s="1" t="s">
        <v>81</v>
      </c>
      <c r="AB38" s="1" t="s">
        <v>81</v>
      </c>
      <c r="AC38" s="1" t="s">
        <v>81</v>
      </c>
      <c r="AD38" s="1" t="s">
        <v>81</v>
      </c>
      <c r="AE38" s="1" t="s">
        <v>81</v>
      </c>
      <c r="AF38" s="27" t="s">
        <v>88</v>
      </c>
      <c r="AG38" s="2" t="s">
        <v>41</v>
      </c>
      <c r="AH38" s="29" t="s">
        <v>41</v>
      </c>
      <c r="AI38" s="29" t="s">
        <v>77</v>
      </c>
      <c r="AJ38" s="40">
        <v>0</v>
      </c>
    </row>
    <row r="39" spans="1:36" ht="30" x14ac:dyDescent="0.25">
      <c r="A39" t="s">
        <v>82</v>
      </c>
      <c r="B39" s="32" t="s">
        <v>75</v>
      </c>
      <c r="C39" s="34" t="s">
        <v>103</v>
      </c>
      <c r="D39" s="32" t="str">
        <f t="shared" si="0"/>
        <v>Welfare centers</v>
      </c>
      <c r="E39" s="37" t="e" cm="1">
        <f t="array" aca="1" ref="E39" ca="1">MID(C39,FIND("(",C39,LOOKUP(2,1/(MID(C39,ROW(INDIRECT("1:"&amp;LEN(C39))),1)="("),ROW(INDIRECT("1:"&amp;LEN(C39)))))+1,FIND(")",C39,LOOKUP(2,1/(MID(C39,ROW(INDIRECT("1:"&amp;LEN(C39))),1)="("),ROW(INDIRECT("1:"&amp;LEN(C39)))))-FIND("(",C39,LOOKUP(2,1/(MID(C39,ROW(INDIRECT("1:"&amp;LEN(C39))),1)="("),ROW(INDIRECT("1:"&amp;LEN(C39)))))-1)</f>
        <v>#N/A</v>
      </c>
      <c r="F39" s="37"/>
      <c r="G39" s="37"/>
      <c r="H39" s="37"/>
      <c r="I39" s="37"/>
      <c r="J39" s="37"/>
      <c r="K39" s="37"/>
      <c r="L39" s="26" t="s">
        <v>47</v>
      </c>
      <c r="M39" s="1" t="s">
        <v>47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28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27" t="s">
        <v>88</v>
      </c>
      <c r="AG39" s="2" t="s">
        <v>41</v>
      </c>
      <c r="AH39" s="29" t="s">
        <v>41</v>
      </c>
      <c r="AI39" s="29" t="s">
        <v>77</v>
      </c>
      <c r="AJ39" s="40">
        <v>0</v>
      </c>
    </row>
    <row r="40" spans="1:36" ht="30" x14ac:dyDescent="0.25">
      <c r="A40" t="s">
        <v>104</v>
      </c>
      <c r="B40" s="32" t="s">
        <v>105</v>
      </c>
      <c r="C40" s="34" t="s">
        <v>106</v>
      </c>
      <c r="D40" s="32" t="str">
        <f t="shared" si="0"/>
        <v>Court houses</v>
      </c>
      <c r="E40" s="37" t="e" cm="1">
        <f t="array" aca="1" ref="E40" ca="1">MID(C40,FIND("(",C40,LOOKUP(2,1/(MID(C40,ROW(INDIRECT("1:"&amp;LEN(C40))),1)="("),ROW(INDIRECT("1:"&amp;LEN(C40)))))+1,FIND(")",C40,LOOKUP(2,1/(MID(C40,ROW(INDIRECT("1:"&amp;LEN(C40))),1)="("),ROW(INDIRECT("1:"&amp;LEN(C40)))))-FIND("(",C40,LOOKUP(2,1/(MID(C40,ROW(INDIRECT("1:"&amp;LEN(C40))),1)="("),ROW(INDIRECT("1:"&amp;LEN(C40)))))-1)</f>
        <v>#N/A</v>
      </c>
      <c r="F40" s="37"/>
      <c r="G40" s="37"/>
      <c r="H40" s="37"/>
      <c r="I40" s="37"/>
      <c r="J40" s="37"/>
      <c r="K40" s="37"/>
      <c r="L40" s="27" t="s">
        <v>41</v>
      </c>
      <c r="M40" s="2" t="s">
        <v>41</v>
      </c>
      <c r="N40" s="2" t="s">
        <v>41</v>
      </c>
      <c r="O40" s="2" t="s">
        <v>41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41</v>
      </c>
      <c r="U40" s="2" t="s">
        <v>41</v>
      </c>
      <c r="V40" s="2" t="s">
        <v>41</v>
      </c>
      <c r="W40" s="29" t="s">
        <v>41</v>
      </c>
      <c r="X40" s="1" t="s">
        <v>107</v>
      </c>
      <c r="Y40" s="1" t="s">
        <v>42</v>
      </c>
      <c r="Z40" s="2" t="s">
        <v>41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26" t="s">
        <v>42</v>
      </c>
      <c r="AG40" s="1" t="s">
        <v>42</v>
      </c>
      <c r="AH40" s="28" t="s">
        <v>42</v>
      </c>
      <c r="AI40" s="28" t="s">
        <v>108</v>
      </c>
      <c r="AJ40" s="40">
        <v>0</v>
      </c>
    </row>
    <row r="41" spans="1:36" ht="30" x14ac:dyDescent="0.25">
      <c r="A41" t="s">
        <v>104</v>
      </c>
      <c r="B41" s="32" t="s">
        <v>105</v>
      </c>
      <c r="C41" s="34" t="s">
        <v>109</v>
      </c>
      <c r="D41" s="32" t="str">
        <f t="shared" si="0"/>
        <v>Fire or police stations</v>
      </c>
      <c r="E41" s="37" t="e" cm="1">
        <f t="array" aca="1" ref="E41" ca="1">MID(C41,FIND("(",C41,LOOKUP(2,1/(MID(C41,ROW(INDIRECT("1:"&amp;LEN(C41))),1)="("),ROW(INDIRECT("1:"&amp;LEN(C41)))))+1,FIND(")",C41,LOOKUP(2,1/(MID(C41,ROW(INDIRECT("1:"&amp;LEN(C41))),1)="("),ROW(INDIRECT("1:"&amp;LEN(C41)))))-FIND("(",C41,LOOKUP(2,1/(MID(C41,ROW(INDIRECT("1:"&amp;LEN(C41))),1)="("),ROW(INDIRECT("1:"&amp;LEN(C41)))))-1)</f>
        <v>#N/A</v>
      </c>
      <c r="F41" s="37"/>
      <c r="G41" s="37"/>
      <c r="H41" s="37"/>
      <c r="I41" s="37"/>
      <c r="J41" s="37"/>
      <c r="K41" s="37"/>
      <c r="L41" s="26" t="s">
        <v>47</v>
      </c>
      <c r="M41" s="1" t="s">
        <v>47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28" t="s">
        <v>47</v>
      </c>
      <c r="X41" s="1" t="s">
        <v>107</v>
      </c>
      <c r="Y41" s="1" t="s">
        <v>42</v>
      </c>
      <c r="Z41" s="2" t="s">
        <v>41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26" t="s">
        <v>42</v>
      </c>
      <c r="AG41" s="1" t="s">
        <v>42</v>
      </c>
      <c r="AH41" s="28" t="s">
        <v>42</v>
      </c>
      <c r="AI41" s="28" t="s">
        <v>108</v>
      </c>
      <c r="AJ41" s="40">
        <v>0</v>
      </c>
    </row>
    <row r="42" spans="1:36" ht="30" x14ac:dyDescent="0.25">
      <c r="A42" t="s">
        <v>104</v>
      </c>
      <c r="B42" s="32" t="s">
        <v>110</v>
      </c>
      <c r="C42" s="34" t="s">
        <v>111</v>
      </c>
      <c r="D42" s="32" t="str">
        <f t="shared" si="0"/>
        <v>Prisons</v>
      </c>
      <c r="E42" s="37" t="e" cm="1">
        <f t="array" aca="1" ref="E42" ca="1">MID(C42,FIND("(",C42,LOOKUP(2,1/(MID(C42,ROW(INDIRECT("1:"&amp;LEN(C42))),1)="("),ROW(INDIRECT("1:"&amp;LEN(C42)))))+1,FIND(")",C42,LOOKUP(2,1/(MID(C42,ROW(INDIRECT("1:"&amp;LEN(C42))),1)="("),ROW(INDIRECT("1:"&amp;LEN(C42)))))-FIND("(",C42,LOOKUP(2,1/(MID(C42,ROW(INDIRECT("1:"&amp;LEN(C42))),1)="("),ROW(INDIRECT("1:"&amp;LEN(C42)))))-1)</f>
        <v>#N/A</v>
      </c>
      <c r="F42" s="37"/>
      <c r="G42" s="37"/>
      <c r="H42" s="37"/>
      <c r="I42" s="37"/>
      <c r="J42" s="37"/>
      <c r="K42" s="37"/>
      <c r="L42" s="27" t="s">
        <v>41</v>
      </c>
      <c r="M42" s="2" t="s">
        <v>41</v>
      </c>
      <c r="N42" s="2" t="s">
        <v>41</v>
      </c>
      <c r="O42" s="2" t="s">
        <v>41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9" t="s">
        <v>41</v>
      </c>
      <c r="X42" s="2" t="s">
        <v>41</v>
      </c>
      <c r="Y42" s="2" t="s">
        <v>41</v>
      </c>
      <c r="Z42" s="2" t="s">
        <v>41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26" t="s">
        <v>42</v>
      </c>
      <c r="AG42" s="1" t="s">
        <v>42</v>
      </c>
      <c r="AH42" s="28" t="s">
        <v>42</v>
      </c>
      <c r="AI42" s="28" t="s">
        <v>112</v>
      </c>
      <c r="AJ42" s="40">
        <v>0</v>
      </c>
    </row>
    <row r="43" spans="1:36" ht="30" x14ac:dyDescent="0.25">
      <c r="A43" t="s">
        <v>113</v>
      </c>
      <c r="B43" s="34" t="s">
        <v>114</v>
      </c>
      <c r="C43" s="34" t="s">
        <v>115</v>
      </c>
      <c r="D43" s="32" t="str">
        <f t="shared" si="0"/>
        <v>Radio or television towers, non-#accessory#</v>
      </c>
      <c r="E43" s="37" t="e" cm="1">
        <f t="array" aca="1" ref="E43" ca="1">MID(C43,FIND("(",C43,LOOKUP(2,1/(MID(C43,ROW(INDIRECT("1:"&amp;LEN(C43))),1)="("),ROW(INDIRECT("1:"&amp;LEN(C43)))))+1,FIND(")",C43,LOOKUP(2,1/(MID(C43,ROW(INDIRECT("1:"&amp;LEN(C43))),1)="("),ROW(INDIRECT("1:"&amp;LEN(C43)))))-FIND("(",C43,LOOKUP(2,1/(MID(C43,ROW(INDIRECT("1:"&amp;LEN(C43))),1)="("),ROW(INDIRECT("1:"&amp;LEN(C43)))))-1)</f>
        <v>#N/A</v>
      </c>
      <c r="F43" s="37"/>
      <c r="G43" s="37"/>
      <c r="H43" s="37"/>
      <c r="I43" s="37"/>
      <c r="J43" s="37"/>
      <c r="K43" s="44" t="s">
        <v>515</v>
      </c>
      <c r="L43" s="26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 t="s">
        <v>47</v>
      </c>
      <c r="R43" s="1" t="s">
        <v>47</v>
      </c>
      <c r="S43" s="1" t="s">
        <v>47</v>
      </c>
      <c r="T43" s="1" t="s">
        <v>47</v>
      </c>
      <c r="U43" s="1" t="s">
        <v>47</v>
      </c>
      <c r="V43" s="1" t="s">
        <v>47</v>
      </c>
      <c r="W43" s="28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26" t="s">
        <v>47</v>
      </c>
      <c r="AG43" s="1" t="s">
        <v>47</v>
      </c>
      <c r="AH43" s="28" t="s">
        <v>47</v>
      </c>
      <c r="AI43" s="29" t="s">
        <v>43</v>
      </c>
      <c r="AJ43" s="40">
        <v>0</v>
      </c>
    </row>
    <row r="44" spans="1:36" ht="33" x14ac:dyDescent="0.25">
      <c r="A44" t="s">
        <v>113</v>
      </c>
      <c r="B44" s="34" t="s">
        <v>114</v>
      </c>
      <c r="C44" s="34" t="s">
        <v>116</v>
      </c>
      <c r="D44" s="32" t="str">
        <f t="shared" si="0"/>
        <v>Telephone exchanges or other communications equipment structures</v>
      </c>
      <c r="E44" s="37" t="e" cm="1">
        <f t="array" aca="1" ref="E44" ca="1">MID(C44,FIND("(",C44,LOOKUP(2,1/(MID(C44,ROW(INDIRECT("1:"&amp;LEN(C44))),1)="("),ROW(INDIRECT("1:"&amp;LEN(C44)))))+1,FIND(")",C44,LOOKUP(2,1/(MID(C44,ROW(INDIRECT("1:"&amp;LEN(C44))),1)="("),ROW(INDIRECT("1:"&amp;LEN(C44)))))-FIND("(",C44,LOOKUP(2,1/(MID(C44,ROW(INDIRECT("1:"&amp;LEN(C44))),1)="("),ROW(INDIRECT("1:"&amp;LEN(C44)))))-1)</f>
        <v>#N/A</v>
      </c>
      <c r="F44" s="37"/>
      <c r="G44" s="37"/>
      <c r="H44" s="37"/>
      <c r="I44" s="37"/>
      <c r="J44" s="37"/>
      <c r="K44" s="37"/>
      <c r="L44" s="26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 t="s">
        <v>47</v>
      </c>
      <c r="V44" s="1" t="s">
        <v>47</v>
      </c>
      <c r="W44" s="28" t="s">
        <v>47</v>
      </c>
      <c r="X44" s="1" t="s">
        <v>35</v>
      </c>
      <c r="Y44" s="1" t="s">
        <v>35</v>
      </c>
      <c r="Z44" s="2" t="s">
        <v>41</v>
      </c>
      <c r="AA44" s="1" t="s">
        <v>35</v>
      </c>
      <c r="AB44" s="1" t="s">
        <v>35</v>
      </c>
      <c r="AC44" s="1" t="s">
        <v>35</v>
      </c>
      <c r="AD44" s="1" t="s">
        <v>35</v>
      </c>
      <c r="AE44" s="1" t="s">
        <v>35</v>
      </c>
      <c r="AF44" s="26" t="s">
        <v>35</v>
      </c>
      <c r="AG44" s="1" t="s">
        <v>35</v>
      </c>
      <c r="AH44" s="28" t="s">
        <v>35</v>
      </c>
      <c r="AI44" s="29" t="s">
        <v>43</v>
      </c>
      <c r="AJ44" s="40">
        <v>0</v>
      </c>
    </row>
    <row r="45" spans="1:36" ht="33" x14ac:dyDescent="0.25">
      <c r="A45" t="s">
        <v>113</v>
      </c>
      <c r="B45" s="34" t="s">
        <v>117</v>
      </c>
      <c r="C45" s="34" t="s">
        <v>118</v>
      </c>
      <c r="D45" s="32" t="str">
        <f t="shared" si="0"/>
        <v>Electric power or steam generating plants</v>
      </c>
      <c r="E45" s="37" t="e" cm="1">
        <f t="array" aca="1" ref="E45" ca="1">MID(C45,FIND("(",C45,LOOKUP(2,1/(MID(C45,ROW(INDIRECT("1:"&amp;LEN(C45))),1)="("),ROW(INDIRECT("1:"&amp;LEN(C45)))))+1,FIND(")",C45,LOOKUP(2,1/(MID(C45,ROW(INDIRECT("1:"&amp;LEN(C45))),1)="("),ROW(INDIRECT("1:"&amp;LEN(C45)))))-FIND("(",C45,LOOKUP(2,1/(MID(C45,ROW(INDIRECT("1:"&amp;LEN(C45))),1)="("),ROW(INDIRECT("1:"&amp;LEN(C45)))))-1)</f>
        <v>#N/A</v>
      </c>
      <c r="F45" s="37"/>
      <c r="G45" s="37"/>
      <c r="H45" s="37"/>
      <c r="I45" s="37"/>
      <c r="J45" s="37"/>
      <c r="K45" s="37"/>
      <c r="L45" s="27" t="s">
        <v>41</v>
      </c>
      <c r="M45" s="2" t="s">
        <v>41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41</v>
      </c>
      <c r="S45" s="2" t="s">
        <v>41</v>
      </c>
      <c r="T45" s="2" t="s">
        <v>41</v>
      </c>
      <c r="U45" s="2" t="s">
        <v>41</v>
      </c>
      <c r="V45" s="2" t="s">
        <v>41</v>
      </c>
      <c r="W45" s="29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  <c r="AD45" s="2" t="s">
        <v>41</v>
      </c>
      <c r="AE45" s="2" t="s">
        <v>41</v>
      </c>
      <c r="AF45" s="26" t="s">
        <v>37</v>
      </c>
      <c r="AG45" s="1" t="s">
        <v>37</v>
      </c>
      <c r="AH45" s="28" t="s">
        <v>37</v>
      </c>
      <c r="AI45" s="29" t="s">
        <v>119</v>
      </c>
      <c r="AJ45" s="40">
        <v>0</v>
      </c>
    </row>
    <row r="46" spans="1:36" ht="33" x14ac:dyDescent="0.25">
      <c r="A46" t="s">
        <v>113</v>
      </c>
      <c r="B46" s="34" t="s">
        <v>117</v>
      </c>
      <c r="C46" s="34" t="s">
        <v>120</v>
      </c>
      <c r="D46" s="32" t="str">
        <f t="shared" si="0"/>
        <v>Electric utility substations</v>
      </c>
      <c r="E46" s="37" t="e" cm="1">
        <f t="array" aca="1" ref="E46" ca="1">MID(C46,FIND("(",C46,LOOKUP(2,1/(MID(C46,ROW(INDIRECT("1:"&amp;LEN(C46))),1)="("),ROW(INDIRECT("1:"&amp;LEN(C46)))))+1,FIND(")",C46,LOOKUP(2,1/(MID(C46,ROW(INDIRECT("1:"&amp;LEN(C46))),1)="("),ROW(INDIRECT("1:"&amp;LEN(C46)))))-FIND("(",C46,LOOKUP(2,1/(MID(C46,ROW(INDIRECT("1:"&amp;LEN(C46))),1)="("),ROW(INDIRECT("1:"&amp;LEN(C46)))))-1)</f>
        <v>#N/A</v>
      </c>
      <c r="F46" s="37"/>
      <c r="G46" s="37"/>
      <c r="H46" s="37"/>
      <c r="I46" s="37"/>
      <c r="J46" s="37"/>
      <c r="K46" s="37"/>
      <c r="L46" s="26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28" t="s">
        <v>47</v>
      </c>
      <c r="X46" s="1" t="s">
        <v>121</v>
      </c>
      <c r="Y46" s="1" t="s">
        <v>121</v>
      </c>
      <c r="Z46" s="1" t="s">
        <v>47</v>
      </c>
      <c r="AA46" s="1" t="s">
        <v>121</v>
      </c>
      <c r="AB46" s="1" t="s">
        <v>121</v>
      </c>
      <c r="AC46" s="1" t="s">
        <v>121</v>
      </c>
      <c r="AD46" s="1" t="s">
        <v>121</v>
      </c>
      <c r="AE46" s="1" t="s">
        <v>121</v>
      </c>
      <c r="AF46" s="26" t="s">
        <v>37</v>
      </c>
      <c r="AG46" s="1" t="s">
        <v>37</v>
      </c>
      <c r="AH46" s="28" t="s">
        <v>37</v>
      </c>
      <c r="AI46" s="29" t="s">
        <v>43</v>
      </c>
      <c r="AJ46" s="40">
        <v>0</v>
      </c>
    </row>
    <row r="47" spans="1:36" ht="33" x14ac:dyDescent="0.25">
      <c r="A47" t="s">
        <v>113</v>
      </c>
      <c r="B47" s="34" t="s">
        <v>117</v>
      </c>
      <c r="C47" s="34" t="s">
        <v>122</v>
      </c>
      <c r="D47" s="32" t="str">
        <f t="shared" si="0"/>
        <v>Gas utility substations</v>
      </c>
      <c r="E47" s="37" t="e" cm="1">
        <f t="array" aca="1" ref="E47" ca="1">MID(C47,FIND("(",C47,LOOKUP(2,1/(MID(C47,ROW(INDIRECT("1:"&amp;LEN(C47))),1)="("),ROW(INDIRECT("1:"&amp;LEN(C47)))))+1,FIND(")",C47,LOOKUP(2,1/(MID(C47,ROW(INDIRECT("1:"&amp;LEN(C47))),1)="("),ROW(INDIRECT("1:"&amp;LEN(C47)))))-FIND("(",C47,LOOKUP(2,1/(MID(C47,ROW(INDIRECT("1:"&amp;LEN(C47))),1)="("),ROW(INDIRECT("1:"&amp;LEN(C47)))))-1)</f>
        <v>#N/A</v>
      </c>
      <c r="F47" s="37"/>
      <c r="G47" s="37"/>
      <c r="H47" s="37"/>
      <c r="I47" s="37"/>
      <c r="J47" s="37"/>
      <c r="K47" s="37"/>
      <c r="L47" s="26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28" t="s">
        <v>47</v>
      </c>
      <c r="X47" s="1" t="s">
        <v>121</v>
      </c>
      <c r="Y47" s="1" t="s">
        <v>121</v>
      </c>
      <c r="Z47" s="2" t="s">
        <v>41</v>
      </c>
      <c r="AA47" s="1" t="s">
        <v>121</v>
      </c>
      <c r="AB47" s="1" t="s">
        <v>121</v>
      </c>
      <c r="AC47" s="1" t="s">
        <v>121</v>
      </c>
      <c r="AD47" s="1" t="s">
        <v>121</v>
      </c>
      <c r="AE47" s="1" t="s">
        <v>121</v>
      </c>
      <c r="AF47" s="26" t="s">
        <v>121</v>
      </c>
      <c r="AG47" s="1" t="s">
        <v>121</v>
      </c>
      <c r="AH47" s="28" t="s">
        <v>121</v>
      </c>
      <c r="AI47" s="29" t="s">
        <v>43</v>
      </c>
      <c r="AJ47" s="40">
        <v>0</v>
      </c>
    </row>
    <row r="48" spans="1:36" ht="30" x14ac:dyDescent="0.25">
      <c r="A48" t="s">
        <v>113</v>
      </c>
      <c r="B48" s="34" t="s">
        <v>117</v>
      </c>
      <c r="C48" s="34" t="s">
        <v>123</v>
      </c>
      <c r="D48" s="32" t="str">
        <f t="shared" si="0"/>
        <v>Public utility stations for oil or gas metering or regulating</v>
      </c>
      <c r="E48" s="37" t="e" cm="1">
        <f t="array" aca="1" ref="E48" ca="1">MID(C48,FIND("(",C48,LOOKUP(2,1/(MID(C48,ROW(INDIRECT("1:"&amp;LEN(C48))),1)="("),ROW(INDIRECT("1:"&amp;LEN(C48)))))+1,FIND(")",C48,LOOKUP(2,1/(MID(C48,ROW(INDIRECT("1:"&amp;LEN(C48))),1)="("),ROW(INDIRECT("1:"&amp;LEN(C48)))))-FIND("(",C48,LOOKUP(2,1/(MID(C48,ROW(INDIRECT("1:"&amp;LEN(C48))),1)="("),ROW(INDIRECT("1:"&amp;LEN(C48)))))-1)</f>
        <v>#N/A</v>
      </c>
      <c r="F48" s="37"/>
      <c r="G48" s="37"/>
      <c r="H48" s="37"/>
      <c r="I48" s="37"/>
      <c r="J48" s="37"/>
      <c r="K48" s="37"/>
      <c r="L48" s="26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28" t="s">
        <v>47</v>
      </c>
      <c r="X48" s="1" t="s">
        <v>107</v>
      </c>
      <c r="Y48" s="1" t="s">
        <v>42</v>
      </c>
      <c r="Z48" s="2" t="s">
        <v>41</v>
      </c>
      <c r="AA48" s="1" t="s">
        <v>42</v>
      </c>
      <c r="AB48" s="1" t="s">
        <v>42</v>
      </c>
      <c r="AC48" s="1" t="s">
        <v>107</v>
      </c>
      <c r="AD48" s="1" t="s">
        <v>42</v>
      </c>
      <c r="AE48" s="1" t="s">
        <v>42</v>
      </c>
      <c r="AF48" s="26" t="s">
        <v>42</v>
      </c>
      <c r="AG48" s="1" t="s">
        <v>42</v>
      </c>
      <c r="AH48" s="28" t="s">
        <v>42</v>
      </c>
      <c r="AI48" s="29" t="s">
        <v>43</v>
      </c>
      <c r="AJ48" s="40">
        <v>0</v>
      </c>
    </row>
    <row r="49" spans="1:36" ht="30" x14ac:dyDescent="0.25">
      <c r="A49" t="s">
        <v>113</v>
      </c>
      <c r="B49" s="34" t="s">
        <v>117</v>
      </c>
      <c r="C49" s="34" t="s">
        <v>124</v>
      </c>
      <c r="D49" s="32" t="str">
        <f t="shared" si="0"/>
        <v>Terminal facilities at river crossings for access to electric, gas, or steam lines</v>
      </c>
      <c r="E49" s="37" t="e" cm="1">
        <f t="array" aca="1" ref="E49" ca="1">MID(C49,FIND("(",C49,LOOKUP(2,1/(MID(C49,ROW(INDIRECT("1:"&amp;LEN(C49))),1)="("),ROW(INDIRECT("1:"&amp;LEN(C49)))))+1,FIND(")",C49,LOOKUP(2,1/(MID(C49,ROW(INDIRECT("1:"&amp;LEN(C49))),1)="("),ROW(INDIRECT("1:"&amp;LEN(C49)))))-FIND("(",C49,LOOKUP(2,1/(MID(C49,ROW(INDIRECT("1:"&amp;LEN(C49))),1)="("),ROW(INDIRECT("1:"&amp;LEN(C49)))))-1)</f>
        <v>#N/A</v>
      </c>
      <c r="F49" s="37"/>
      <c r="G49" s="37"/>
      <c r="H49" s="37"/>
      <c r="I49" s="37"/>
      <c r="J49" s="37"/>
      <c r="K49" s="37"/>
      <c r="L49" s="26" t="s">
        <v>47</v>
      </c>
      <c r="M49" s="1" t="s">
        <v>47</v>
      </c>
      <c r="N49" s="1" t="s">
        <v>47</v>
      </c>
      <c r="O49" s="1" t="s">
        <v>47</v>
      </c>
      <c r="P49" s="1" t="s">
        <v>47</v>
      </c>
      <c r="Q49" s="1" t="s">
        <v>47</v>
      </c>
      <c r="R49" s="1" t="s">
        <v>47</v>
      </c>
      <c r="S49" s="1" t="s">
        <v>47</v>
      </c>
      <c r="T49" s="1" t="s">
        <v>47</v>
      </c>
      <c r="U49" s="1" t="s">
        <v>47</v>
      </c>
      <c r="V49" s="1" t="s">
        <v>47</v>
      </c>
      <c r="W49" s="28" t="s">
        <v>47</v>
      </c>
      <c r="X49" s="1" t="s">
        <v>107</v>
      </c>
      <c r="Y49" s="1" t="s">
        <v>42</v>
      </c>
      <c r="Z49" s="2" t="s">
        <v>41</v>
      </c>
      <c r="AA49" s="1" t="s">
        <v>42</v>
      </c>
      <c r="AB49" s="1" t="s">
        <v>42</v>
      </c>
      <c r="AC49" s="1" t="s">
        <v>107</v>
      </c>
      <c r="AD49" s="1" t="s">
        <v>42</v>
      </c>
      <c r="AE49" s="1" t="s">
        <v>42</v>
      </c>
      <c r="AF49" s="26" t="s">
        <v>42</v>
      </c>
      <c r="AG49" s="1" t="s">
        <v>42</v>
      </c>
      <c r="AH49" s="28" t="s">
        <v>42</v>
      </c>
      <c r="AI49" s="29" t="s">
        <v>43</v>
      </c>
      <c r="AJ49" s="40">
        <v>0</v>
      </c>
    </row>
    <row r="50" spans="1:36" ht="33" x14ac:dyDescent="0.25">
      <c r="A50" t="s">
        <v>113</v>
      </c>
      <c r="B50" s="34" t="s">
        <v>125</v>
      </c>
      <c r="C50" s="34" t="s">
        <v>126</v>
      </c>
      <c r="D50" s="32" t="str">
        <f t="shared" si="0"/>
        <v>Composting</v>
      </c>
      <c r="E50" s="37" t="e" cm="1">
        <f t="array" aca="1" ref="E50" ca="1">MID(C50,FIND("(",C50,LOOKUP(2,1/(MID(C50,ROW(INDIRECT("1:"&amp;LEN(C50))),1)="("),ROW(INDIRECT("1:"&amp;LEN(C50)))))+1,FIND(")",C50,LOOKUP(2,1/(MID(C50,ROW(INDIRECT("1:"&amp;LEN(C50))),1)="("),ROW(INDIRECT("1:"&amp;LEN(C50)))))-FIND("(",C50,LOOKUP(2,1/(MID(C50,ROW(INDIRECT("1:"&amp;LEN(C50))),1)="("),ROW(INDIRECT("1:"&amp;LEN(C50)))))-1)</f>
        <v>#N/A</v>
      </c>
      <c r="F50" s="37"/>
      <c r="G50" s="37"/>
      <c r="H50" s="37"/>
      <c r="I50" s="37"/>
      <c r="J50" s="37"/>
      <c r="K50" s="37"/>
      <c r="L50" s="27" t="s">
        <v>41</v>
      </c>
      <c r="M50" s="2" t="s">
        <v>41</v>
      </c>
      <c r="N50" s="2" t="s">
        <v>41</v>
      </c>
      <c r="O50" s="2" t="s">
        <v>41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9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  <c r="AD50" s="2" t="s">
        <v>41</v>
      </c>
      <c r="AE50" s="2" t="s">
        <v>41</v>
      </c>
      <c r="AF50" s="26" t="s">
        <v>37</v>
      </c>
      <c r="AG50" s="1" t="s">
        <v>37</v>
      </c>
      <c r="AH50" s="28" t="s">
        <v>37</v>
      </c>
      <c r="AI50" s="28" t="s">
        <v>127</v>
      </c>
      <c r="AJ50" s="40">
        <v>0</v>
      </c>
    </row>
    <row r="51" spans="1:36" ht="33" x14ac:dyDescent="0.25">
      <c r="A51" t="s">
        <v>113</v>
      </c>
      <c r="B51" s="34" t="s">
        <v>125</v>
      </c>
      <c r="C51" s="34" t="s">
        <v>128</v>
      </c>
      <c r="D51" s="32" t="str">
        <f t="shared" si="0"/>
        <v xml:space="preserve">Dumps, recycling or material recovery facilities, marine transfer stations for garbage or slag piles </v>
      </c>
      <c r="E51" s="37" t="e" cm="1">
        <f t="array" aca="1" ref="E51" ca="1">MID(C51,FIND("(",C51,LOOKUP(2,1/(MID(C51,ROW(INDIRECT("1:"&amp;LEN(C51))),1)="("),ROW(INDIRECT("1:"&amp;LEN(C51)))))+1,FIND(")",C51,LOOKUP(2,1/(MID(C51,ROW(INDIRECT("1:"&amp;LEN(C51))),1)="("),ROW(INDIRECT("1:"&amp;LEN(C51)))))-FIND("(",C51,LOOKUP(2,1/(MID(C51,ROW(INDIRECT("1:"&amp;LEN(C51))),1)="("),ROW(INDIRECT("1:"&amp;LEN(C51)))))-1)</f>
        <v>#N/A</v>
      </c>
      <c r="F51" s="37"/>
      <c r="G51" s="37"/>
      <c r="H51" s="37"/>
      <c r="I51" s="37"/>
      <c r="J51" s="37"/>
      <c r="K51" s="37"/>
      <c r="L51" s="27" t="s">
        <v>41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9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2" t="s">
        <v>41</v>
      </c>
      <c r="AF51" s="26" t="s">
        <v>37</v>
      </c>
      <c r="AG51" s="1" t="s">
        <v>37</v>
      </c>
      <c r="AH51" s="28" t="s">
        <v>37</v>
      </c>
      <c r="AI51" s="28" t="s">
        <v>127</v>
      </c>
      <c r="AJ51" s="40">
        <v>0</v>
      </c>
    </row>
    <row r="52" spans="1:36" ht="33" x14ac:dyDescent="0.25">
      <c r="A52" t="s">
        <v>113</v>
      </c>
      <c r="B52" s="34" t="s">
        <v>125</v>
      </c>
      <c r="C52" s="34" t="s">
        <v>129</v>
      </c>
      <c r="D52" s="32" t="str">
        <f t="shared" si="0"/>
        <v>Incineration or reduction of garbage, offal or dead animals</v>
      </c>
      <c r="E52" s="37" t="e" cm="1">
        <f t="array" aca="1" ref="E52" ca="1">MID(C52,FIND("(",C52,LOOKUP(2,1/(MID(C52,ROW(INDIRECT("1:"&amp;LEN(C52))),1)="("),ROW(INDIRECT("1:"&amp;LEN(C52)))))+1,FIND(")",C52,LOOKUP(2,1/(MID(C52,ROW(INDIRECT("1:"&amp;LEN(C52))),1)="("),ROW(INDIRECT("1:"&amp;LEN(C52)))))-FIND("(",C52,LOOKUP(2,1/(MID(C52,ROW(INDIRECT("1:"&amp;LEN(C52))),1)="("),ROW(INDIRECT("1:"&amp;LEN(C52)))))-1)</f>
        <v>#N/A</v>
      </c>
      <c r="F52" s="37"/>
      <c r="G52" s="37"/>
      <c r="H52" s="37"/>
      <c r="I52" s="37"/>
      <c r="J52" s="37"/>
      <c r="K52" s="37"/>
      <c r="L52" s="27" t="s">
        <v>41</v>
      </c>
      <c r="M52" s="2" t="s">
        <v>41</v>
      </c>
      <c r="N52" s="2" t="s">
        <v>41</v>
      </c>
      <c r="O52" s="2" t="s">
        <v>41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9" t="s">
        <v>41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  <c r="AD52" s="2" t="s">
        <v>41</v>
      </c>
      <c r="AE52" s="2" t="s">
        <v>41</v>
      </c>
      <c r="AF52" s="26" t="s">
        <v>35</v>
      </c>
      <c r="AG52" s="1" t="s">
        <v>35</v>
      </c>
      <c r="AH52" s="28" t="s">
        <v>35</v>
      </c>
      <c r="AI52" s="28" t="s">
        <v>130</v>
      </c>
      <c r="AJ52" s="40">
        <v>0</v>
      </c>
    </row>
    <row r="53" spans="1:36" ht="33" x14ac:dyDescent="0.25">
      <c r="A53" t="s">
        <v>113</v>
      </c>
      <c r="B53" s="34" t="s">
        <v>125</v>
      </c>
      <c r="C53" s="34" t="s">
        <v>131</v>
      </c>
      <c r="D53" s="32" t="str">
        <f t="shared" si="0"/>
        <v>Radioactive waste disposal services involving the handling or storage of radioactive waste</v>
      </c>
      <c r="E53" s="37" t="e" cm="1">
        <f t="array" aca="1" ref="E53" ca="1">MID(C53,FIND("(",C53,LOOKUP(2,1/(MID(C53,ROW(INDIRECT("1:"&amp;LEN(C53))),1)="("),ROW(INDIRECT("1:"&amp;LEN(C53)))))+1,FIND(")",C53,LOOKUP(2,1/(MID(C53,ROW(INDIRECT("1:"&amp;LEN(C53))),1)="("),ROW(INDIRECT("1:"&amp;LEN(C53)))))-FIND("(",C53,LOOKUP(2,1/(MID(C53,ROW(INDIRECT("1:"&amp;LEN(C53))),1)="("),ROW(INDIRECT("1:"&amp;LEN(C53)))))-1)</f>
        <v>#N/A</v>
      </c>
      <c r="F53" s="37"/>
      <c r="G53" s="37"/>
      <c r="H53" s="37"/>
      <c r="I53" s="37"/>
      <c r="J53" s="37"/>
      <c r="K53" s="37"/>
      <c r="L53" s="27" t="s">
        <v>41</v>
      </c>
      <c r="M53" s="2" t="s">
        <v>41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9" t="s">
        <v>41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  <c r="AD53" s="2" t="s">
        <v>41</v>
      </c>
      <c r="AE53" s="2" t="s">
        <v>41</v>
      </c>
      <c r="AF53" s="26" t="s">
        <v>35</v>
      </c>
      <c r="AG53" s="1" t="s">
        <v>35</v>
      </c>
      <c r="AH53" s="28" t="s">
        <v>35</v>
      </c>
      <c r="AI53" s="28" t="s">
        <v>130</v>
      </c>
      <c r="AJ53" s="40">
        <v>0</v>
      </c>
    </row>
    <row r="54" spans="1:36" ht="33" x14ac:dyDescent="0.25">
      <c r="A54" t="s">
        <v>113</v>
      </c>
      <c r="B54" s="34" t="s">
        <v>125</v>
      </c>
      <c r="C54" s="34" t="s">
        <v>132</v>
      </c>
      <c r="D54" s="32" t="str">
        <f t="shared" si="0"/>
        <v>Sewage disposal plants</v>
      </c>
      <c r="E54" s="37" t="e" cm="1">
        <f t="array" aca="1" ref="E54" ca="1">MID(C54,FIND("(",C54,LOOKUP(2,1/(MID(C54,ROW(INDIRECT("1:"&amp;LEN(C54))),1)="("),ROW(INDIRECT("1:"&amp;LEN(C54)))))+1,FIND(")",C54,LOOKUP(2,1/(MID(C54,ROW(INDIRECT("1:"&amp;LEN(C54))),1)="("),ROW(INDIRECT("1:"&amp;LEN(C54)))))-FIND("(",C54,LOOKUP(2,1/(MID(C54,ROW(INDIRECT("1:"&amp;LEN(C54))),1)="("),ROW(INDIRECT("1:"&amp;LEN(C54)))))-1)</f>
        <v>#N/A</v>
      </c>
      <c r="F54" s="37"/>
      <c r="G54" s="37"/>
      <c r="H54" s="37"/>
      <c r="I54" s="37"/>
      <c r="J54" s="37"/>
      <c r="K54" s="37"/>
      <c r="L54" s="26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28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26" t="s">
        <v>47</v>
      </c>
      <c r="AG54" s="1" t="s">
        <v>47</v>
      </c>
      <c r="AH54" s="28" t="s">
        <v>35</v>
      </c>
      <c r="AI54" s="28" t="s">
        <v>130</v>
      </c>
      <c r="AJ54" s="40">
        <v>0</v>
      </c>
    </row>
    <row r="55" spans="1:36" ht="30" x14ac:dyDescent="0.25">
      <c r="A55" t="s">
        <v>113</v>
      </c>
      <c r="B55" s="34" t="s">
        <v>125</v>
      </c>
      <c r="C55" s="34" t="s">
        <v>133</v>
      </c>
      <c r="D55" s="32" t="str">
        <f t="shared" si="0"/>
        <v>Water or sewage pumping stations</v>
      </c>
      <c r="E55" s="37" t="e" cm="1">
        <f t="array" aca="1" ref="E55" ca="1">MID(C55,FIND("(",C55,LOOKUP(2,1/(MID(C55,ROW(INDIRECT("1:"&amp;LEN(C55))),1)="("),ROW(INDIRECT("1:"&amp;LEN(C55)))))+1,FIND(")",C55,LOOKUP(2,1/(MID(C55,ROW(INDIRECT("1:"&amp;LEN(C55))),1)="("),ROW(INDIRECT("1:"&amp;LEN(C55)))))-FIND("(",C55,LOOKUP(2,1/(MID(C55,ROW(INDIRECT("1:"&amp;LEN(C55))),1)="("),ROW(INDIRECT("1:"&amp;LEN(C55)))))-1)</f>
        <v>#N/A</v>
      </c>
      <c r="F55" s="37"/>
      <c r="G55" s="37"/>
      <c r="H55" s="37"/>
      <c r="I55" s="37"/>
      <c r="J55" s="37"/>
      <c r="K55" s="37"/>
      <c r="L55" s="26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28" t="s">
        <v>47</v>
      </c>
      <c r="X55" s="1" t="s">
        <v>107</v>
      </c>
      <c r="Y55" s="1" t="s">
        <v>42</v>
      </c>
      <c r="Z55" s="2" t="s">
        <v>41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26" t="s">
        <v>42</v>
      </c>
      <c r="AG55" s="1" t="s">
        <v>42</v>
      </c>
      <c r="AH55" s="28" t="s">
        <v>42</v>
      </c>
      <c r="AI55" s="29" t="s">
        <v>43</v>
      </c>
      <c r="AJ55" s="40">
        <v>0</v>
      </c>
    </row>
    <row r="56" spans="1:36" ht="30" x14ac:dyDescent="0.25">
      <c r="A56" t="s">
        <v>113</v>
      </c>
      <c r="B56" s="34" t="s">
        <v>134</v>
      </c>
      <c r="C56" s="34" t="s">
        <v>135</v>
      </c>
      <c r="D56" s="32" t="str">
        <f t="shared" si="0"/>
        <v>Airports</v>
      </c>
      <c r="E56" s="37" t="e" cm="1">
        <f t="array" aca="1" ref="E56" ca="1">MID(C56,FIND("(",C56,LOOKUP(2,1/(MID(C56,ROW(INDIRECT("1:"&amp;LEN(C56))),1)="("),ROW(INDIRECT("1:"&amp;LEN(C56)))))+1,FIND(")",C56,LOOKUP(2,1/(MID(C56,ROW(INDIRECT("1:"&amp;LEN(C56))),1)="("),ROW(INDIRECT("1:"&amp;LEN(C56)))))-FIND("(",C56,LOOKUP(2,1/(MID(C56,ROW(INDIRECT("1:"&amp;LEN(C56))),1)="("),ROW(INDIRECT("1:"&amp;LEN(C56)))))-1)</f>
        <v>#N/A</v>
      </c>
      <c r="F56" s="37"/>
      <c r="G56" s="37"/>
      <c r="H56" s="37"/>
      <c r="I56" s="37"/>
      <c r="J56" s="37"/>
      <c r="K56" s="37"/>
      <c r="L56" s="27" t="s">
        <v>41</v>
      </c>
      <c r="M56" s="2" t="s">
        <v>41</v>
      </c>
      <c r="N56" s="2" t="s">
        <v>41</v>
      </c>
      <c r="O56" s="2" t="s">
        <v>41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9" t="s">
        <v>41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  <c r="AD56" s="2" t="s">
        <v>41</v>
      </c>
      <c r="AE56" s="2" t="s">
        <v>41</v>
      </c>
      <c r="AF56" s="26" t="s">
        <v>47</v>
      </c>
      <c r="AG56" s="1" t="s">
        <v>47</v>
      </c>
      <c r="AH56" s="28" t="s">
        <v>47</v>
      </c>
      <c r="AI56" s="29" t="s">
        <v>43</v>
      </c>
      <c r="AJ56" s="40">
        <v>0</v>
      </c>
    </row>
    <row r="57" spans="1:36" ht="33" x14ac:dyDescent="0.25">
      <c r="A57" t="s">
        <v>113</v>
      </c>
      <c r="B57" s="34" t="s">
        <v>134</v>
      </c>
      <c r="C57" s="34" t="s">
        <v>136</v>
      </c>
      <c r="D57" s="32" t="str">
        <f t="shared" si="0"/>
        <v>Boat launching facilities for non-commercial pleasure boats</v>
      </c>
      <c r="E57" s="37" t="e" cm="1">
        <f t="array" aca="1" ref="E57" ca="1">MID(C57,FIND("(",C57,LOOKUP(2,1/(MID(C57,ROW(INDIRECT("1:"&amp;LEN(C57))),1)="("),ROW(INDIRECT("1:"&amp;LEN(C57)))))+1,FIND(")",C57,LOOKUP(2,1/(MID(C57,ROW(INDIRECT("1:"&amp;LEN(C57))),1)="("),ROW(INDIRECT("1:"&amp;LEN(C57)))))-FIND("(",C57,LOOKUP(2,1/(MID(C57,ROW(INDIRECT("1:"&amp;LEN(C57))),1)="("),ROW(INDIRECT("1:"&amp;LEN(C57)))))-1)</f>
        <v>#N/A</v>
      </c>
      <c r="F57" s="37"/>
      <c r="G57" s="37"/>
      <c r="H57" s="37"/>
      <c r="I57" s="37"/>
      <c r="J57" s="37"/>
      <c r="K57" s="37"/>
      <c r="L57" s="27" t="s">
        <v>41</v>
      </c>
      <c r="M57" s="2" t="s">
        <v>41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41</v>
      </c>
      <c r="U57" s="2" t="s">
        <v>41</v>
      </c>
      <c r="V57" s="2" t="s">
        <v>41</v>
      </c>
      <c r="W57" s="29" t="s">
        <v>41</v>
      </c>
      <c r="X57" s="1" t="s">
        <v>137</v>
      </c>
      <c r="Y57" s="1" t="s">
        <v>137</v>
      </c>
      <c r="Z57" s="1" t="s">
        <v>137</v>
      </c>
      <c r="AA57" s="1" t="s">
        <v>137</v>
      </c>
      <c r="AB57" s="1" t="s">
        <v>137</v>
      </c>
      <c r="AC57" s="1" t="s">
        <v>137</v>
      </c>
      <c r="AD57" s="1" t="s">
        <v>137</v>
      </c>
      <c r="AE57" s="1" t="s">
        <v>137</v>
      </c>
      <c r="AF57" s="26" t="s">
        <v>137</v>
      </c>
      <c r="AG57" s="1" t="s">
        <v>137</v>
      </c>
      <c r="AH57" s="28" t="s">
        <v>137</v>
      </c>
      <c r="AI57" s="29" t="s">
        <v>43</v>
      </c>
      <c r="AJ57" s="40">
        <v>0</v>
      </c>
    </row>
    <row r="58" spans="1:36" ht="30" x14ac:dyDescent="0.25">
      <c r="A58" t="s">
        <v>113</v>
      </c>
      <c r="B58" s="34" t="s">
        <v>134</v>
      </c>
      <c r="C58" s="34" t="s">
        <v>138</v>
      </c>
      <c r="D58" s="32" t="str">
        <f t="shared" si="0"/>
        <v>Bus stations</v>
      </c>
      <c r="E58" s="37" t="e" cm="1">
        <f t="array" aca="1" ref="E58" ca="1">MID(C58,FIND("(",C58,LOOKUP(2,1/(MID(C58,ROW(INDIRECT("1:"&amp;LEN(C58))),1)="("),ROW(INDIRECT("1:"&amp;LEN(C58)))))+1,FIND(")",C58,LOOKUP(2,1/(MID(C58,ROW(INDIRECT("1:"&amp;LEN(C58))),1)="("),ROW(INDIRECT("1:"&amp;LEN(C58)))))-FIND("(",C58,LOOKUP(2,1/(MID(C58,ROW(INDIRECT("1:"&amp;LEN(C58))),1)="("),ROW(INDIRECT("1:"&amp;LEN(C58)))))-1)</f>
        <v>#N/A</v>
      </c>
      <c r="F58" s="37"/>
      <c r="G58" s="37"/>
      <c r="H58" s="37"/>
      <c r="I58" s="37"/>
      <c r="J58" s="37"/>
      <c r="K58" s="37"/>
      <c r="L58" s="27" t="s">
        <v>41</v>
      </c>
      <c r="M58" s="2" t="s">
        <v>41</v>
      </c>
      <c r="N58" s="2" t="s">
        <v>41</v>
      </c>
      <c r="O58" s="2" t="s">
        <v>41</v>
      </c>
      <c r="P58" s="2" t="s">
        <v>41</v>
      </c>
      <c r="Q58" s="2" t="s">
        <v>41</v>
      </c>
      <c r="R58" s="2" t="s">
        <v>41</v>
      </c>
      <c r="S58" s="2" t="s">
        <v>41</v>
      </c>
      <c r="T58" s="2" t="s">
        <v>41</v>
      </c>
      <c r="U58" s="2" t="s">
        <v>41</v>
      </c>
      <c r="V58" s="2" t="s">
        <v>41</v>
      </c>
      <c r="W58" s="29" t="s">
        <v>41</v>
      </c>
      <c r="X58" s="1" t="s">
        <v>47</v>
      </c>
      <c r="Y58" s="1" t="s">
        <v>47</v>
      </c>
      <c r="Z58" s="2" t="s">
        <v>41</v>
      </c>
      <c r="AA58" s="1" t="s">
        <v>47</v>
      </c>
      <c r="AB58" s="2" t="s">
        <v>47</v>
      </c>
      <c r="AC58" s="1" t="s">
        <v>47</v>
      </c>
      <c r="AD58" s="1" t="s">
        <v>47</v>
      </c>
      <c r="AE58" s="1" t="s">
        <v>47</v>
      </c>
      <c r="AF58" s="26" t="s">
        <v>47</v>
      </c>
      <c r="AG58" s="1" t="s">
        <v>47</v>
      </c>
      <c r="AH58" s="28" t="s">
        <v>47</v>
      </c>
      <c r="AI58" s="29" t="s">
        <v>43</v>
      </c>
      <c r="AJ58" s="40">
        <v>0</v>
      </c>
    </row>
    <row r="59" spans="1:36" ht="51" x14ac:dyDescent="0.25">
      <c r="A59" t="s">
        <v>113</v>
      </c>
      <c r="B59" s="34" t="s">
        <v>134</v>
      </c>
      <c r="C59" s="34" t="s">
        <v>139</v>
      </c>
      <c r="D59" s="32" t="str">
        <f t="shared" si="0"/>
        <v>Docks</v>
      </c>
      <c r="E59" s="37" t="e" cm="1">
        <f t="array" aca="1" ref="E59" ca="1">MID(C59,FIND("(",C59,LOOKUP(2,1/(MID(C59,ROW(INDIRECT("1:"&amp;LEN(C59))),1)="("),ROW(INDIRECT("1:"&amp;LEN(C59)))))+1,FIND(")",C59,LOOKUP(2,1/(MID(C59,ROW(INDIRECT("1:"&amp;LEN(C59))),1)="("),ROW(INDIRECT("1:"&amp;LEN(C59)))))-FIND("(",C59,LOOKUP(2,1/(MID(C59,ROW(INDIRECT("1:"&amp;LEN(C59))),1)="("),ROW(INDIRECT("1:"&amp;LEN(C59)))))-1)</f>
        <v>#N/A</v>
      </c>
      <c r="F59" s="37"/>
      <c r="G59" s="37"/>
      <c r="H59" s="37"/>
      <c r="I59" s="37"/>
      <c r="J59" s="37"/>
      <c r="K59" s="37"/>
      <c r="L59" s="27" t="s">
        <v>41</v>
      </c>
      <c r="M59" s="2" t="s">
        <v>41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28" t="s">
        <v>47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26" t="s">
        <v>37</v>
      </c>
      <c r="AG59" s="1" t="s">
        <v>37</v>
      </c>
      <c r="AH59" s="28" t="s">
        <v>37</v>
      </c>
      <c r="AI59" s="28" t="s">
        <v>112</v>
      </c>
      <c r="AJ59" s="40">
        <v>0</v>
      </c>
    </row>
    <row r="60" spans="1:36" ht="45" x14ac:dyDescent="0.25">
      <c r="A60" t="s">
        <v>113</v>
      </c>
      <c r="B60" s="34" t="s">
        <v>134</v>
      </c>
      <c r="C60" s="34" t="s">
        <v>140</v>
      </c>
      <c r="D60" s="32" t="str">
        <f t="shared" si="0"/>
        <v>Freight terminals, yards or appurtenances, or facilities or services used or required in railroad operations, but not including passenger stations</v>
      </c>
      <c r="E60" s="37" t="e" cm="1">
        <f t="array" aca="1" ref="E60" ca="1">MID(C60,FIND("(",C60,LOOKUP(2,1/(MID(C60,ROW(INDIRECT("1:"&amp;LEN(C60))),1)="("),ROW(INDIRECT("1:"&amp;LEN(C60)))))+1,FIND(")",C60,LOOKUP(2,1/(MID(C60,ROW(INDIRECT("1:"&amp;LEN(C60))),1)="("),ROW(INDIRECT("1:"&amp;LEN(C60)))))-FIND("(",C60,LOOKUP(2,1/(MID(C60,ROW(INDIRECT("1:"&amp;LEN(C60))),1)="("),ROW(INDIRECT("1:"&amp;LEN(C60)))))-1)</f>
        <v>#N/A</v>
      </c>
      <c r="F60" s="37"/>
      <c r="G60" s="37"/>
      <c r="H60" s="37"/>
      <c r="I60" s="37"/>
      <c r="J60" s="37"/>
      <c r="K60" s="37"/>
      <c r="L60" s="27" t="s">
        <v>41</v>
      </c>
      <c r="M60" s="2" t="s">
        <v>41</v>
      </c>
      <c r="N60" s="2" t="s">
        <v>41</v>
      </c>
      <c r="O60" s="2" t="s">
        <v>41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41</v>
      </c>
      <c r="U60" s="2" t="s">
        <v>41</v>
      </c>
      <c r="V60" s="2" t="s">
        <v>41</v>
      </c>
      <c r="W60" s="29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  <c r="AD60" s="2" t="s">
        <v>41</v>
      </c>
      <c r="AE60" s="2" t="s">
        <v>41</v>
      </c>
      <c r="AF60" s="26" t="s">
        <v>37</v>
      </c>
      <c r="AG60" s="1" t="s">
        <v>37</v>
      </c>
      <c r="AH60" s="28" t="s">
        <v>37</v>
      </c>
      <c r="AI60" s="28" t="s">
        <v>127</v>
      </c>
      <c r="AJ60" s="40">
        <v>0</v>
      </c>
    </row>
    <row r="61" spans="1:36" ht="30" x14ac:dyDescent="0.25">
      <c r="A61" t="s">
        <v>113</v>
      </c>
      <c r="B61" s="34" t="s">
        <v>134</v>
      </c>
      <c r="C61" s="34" t="s">
        <v>141</v>
      </c>
      <c r="D61" s="32" t="str">
        <f t="shared" si="0"/>
        <v>Heliports</v>
      </c>
      <c r="E61" s="37" t="e" cm="1">
        <f t="array" aca="1" ref="E61" ca="1">MID(C61,FIND("(",C61,LOOKUP(2,1/(MID(C61,ROW(INDIRECT("1:"&amp;LEN(C61))),1)="("),ROW(INDIRECT("1:"&amp;LEN(C61)))))+1,FIND(")",C61,LOOKUP(2,1/(MID(C61,ROW(INDIRECT("1:"&amp;LEN(C61))),1)="("),ROW(INDIRECT("1:"&amp;LEN(C61)))))-FIND("(",C61,LOOKUP(2,1/(MID(C61,ROW(INDIRECT("1:"&amp;LEN(C61))),1)="("),ROW(INDIRECT("1:"&amp;LEN(C61)))))-1)</f>
        <v>#N/A</v>
      </c>
      <c r="F61" s="37"/>
      <c r="G61" s="37"/>
      <c r="H61" s="37"/>
      <c r="I61" s="37"/>
      <c r="J61" s="37"/>
      <c r="K61" s="37"/>
      <c r="L61" s="27" t="s">
        <v>41</v>
      </c>
      <c r="M61" s="2" t="s">
        <v>41</v>
      </c>
      <c r="N61" s="2" t="s">
        <v>41</v>
      </c>
      <c r="O61" s="2" t="s">
        <v>41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41</v>
      </c>
      <c r="U61" s="2" t="s">
        <v>41</v>
      </c>
      <c r="V61" s="2" t="s">
        <v>41</v>
      </c>
      <c r="W61" s="29" t="s">
        <v>41</v>
      </c>
      <c r="X61" s="2" t="s">
        <v>41</v>
      </c>
      <c r="Y61" s="2" t="s">
        <v>41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26" t="s">
        <v>47</v>
      </c>
      <c r="AG61" s="1" t="s">
        <v>47</v>
      </c>
      <c r="AH61" s="28" t="s">
        <v>47</v>
      </c>
      <c r="AI61" s="29" t="s">
        <v>43</v>
      </c>
      <c r="AJ61" s="40">
        <v>0</v>
      </c>
    </row>
    <row r="62" spans="1:36" ht="33" x14ac:dyDescent="0.25">
      <c r="A62" t="s">
        <v>113</v>
      </c>
      <c r="B62" s="34" t="s">
        <v>134</v>
      </c>
      <c r="C62" s="34" t="s">
        <v>142</v>
      </c>
      <c r="D62" s="32" t="str">
        <f t="shared" si="0"/>
        <v>Mooring facilities for non-commercial pleasure boats</v>
      </c>
      <c r="E62" s="37" t="e" cm="1">
        <f t="array" aca="1" ref="E62" ca="1">MID(C62,FIND("(",C62,LOOKUP(2,1/(MID(C62,ROW(INDIRECT("1:"&amp;LEN(C62))),1)="("),ROW(INDIRECT("1:"&amp;LEN(C62)))))+1,FIND(")",C62,LOOKUP(2,1/(MID(C62,ROW(INDIRECT("1:"&amp;LEN(C62))),1)="("),ROW(INDIRECT("1:"&amp;LEN(C62)))))-FIND("(",C62,LOOKUP(2,1/(MID(C62,ROW(INDIRECT("1:"&amp;LEN(C62))),1)="("),ROW(INDIRECT("1:"&amp;LEN(C62)))))-1)</f>
        <v>#N/A</v>
      </c>
      <c r="F62" s="37"/>
      <c r="G62" s="37"/>
      <c r="H62" s="37"/>
      <c r="I62" s="37"/>
      <c r="J62" s="37"/>
      <c r="K62" s="37"/>
      <c r="L62" s="27" t="s">
        <v>41</v>
      </c>
      <c r="M62" s="2" t="s">
        <v>41</v>
      </c>
      <c r="N62" s="2" t="s">
        <v>41</v>
      </c>
      <c r="O62" s="2" t="s">
        <v>41</v>
      </c>
      <c r="P62" s="2" t="s">
        <v>41</v>
      </c>
      <c r="Q62" s="2" t="s">
        <v>41</v>
      </c>
      <c r="R62" s="2" t="s">
        <v>41</v>
      </c>
      <c r="S62" s="2" t="s">
        <v>41</v>
      </c>
      <c r="T62" s="2" t="s">
        <v>41</v>
      </c>
      <c r="U62" s="2" t="s">
        <v>41</v>
      </c>
      <c r="V62" s="2" t="s">
        <v>41</v>
      </c>
      <c r="W62" s="29" t="s">
        <v>41</v>
      </c>
      <c r="X62" s="1" t="s">
        <v>137</v>
      </c>
      <c r="Y62" s="1" t="s">
        <v>137</v>
      </c>
      <c r="Z62" s="1" t="s">
        <v>137</v>
      </c>
      <c r="AA62" s="1" t="s">
        <v>137</v>
      </c>
      <c r="AB62" s="1" t="s">
        <v>137</v>
      </c>
      <c r="AC62" s="1" t="s">
        <v>137</v>
      </c>
      <c r="AD62" s="1" t="s">
        <v>137</v>
      </c>
      <c r="AE62" s="1" t="s">
        <v>137</v>
      </c>
      <c r="AF62" s="26" t="s">
        <v>137</v>
      </c>
      <c r="AG62" s="1" t="s">
        <v>137</v>
      </c>
      <c r="AH62" s="28" t="s">
        <v>137</v>
      </c>
      <c r="AI62" s="29" t="s">
        <v>43</v>
      </c>
      <c r="AJ62" s="40">
        <v>0</v>
      </c>
    </row>
    <row r="63" spans="1:36" ht="33" x14ac:dyDescent="0.25">
      <c r="A63" t="s">
        <v>113</v>
      </c>
      <c r="B63" s="34" t="s">
        <v>134</v>
      </c>
      <c r="C63" s="34" t="s">
        <v>143</v>
      </c>
      <c r="D63" s="32" t="str">
        <f t="shared" si="0"/>
        <v>Public transit or railroad electric substations</v>
      </c>
      <c r="E63" s="37" t="e" cm="1">
        <f t="array" aca="1" ref="E63" ca="1">MID(C63,FIND("(",C63,LOOKUP(2,1/(MID(C63,ROW(INDIRECT("1:"&amp;LEN(C63))),1)="("),ROW(INDIRECT("1:"&amp;LEN(C63)))))+1,FIND(")",C63,LOOKUP(2,1/(MID(C63,ROW(INDIRECT("1:"&amp;LEN(C63))),1)="("),ROW(INDIRECT("1:"&amp;LEN(C63)))))-FIND("(",C63,LOOKUP(2,1/(MID(C63,ROW(INDIRECT("1:"&amp;LEN(C63))),1)="("),ROW(INDIRECT("1:"&amp;LEN(C63)))))-1)</f>
        <v>#N/A</v>
      </c>
      <c r="F63" s="37"/>
      <c r="G63" s="37"/>
      <c r="H63" s="37"/>
      <c r="I63" s="37"/>
      <c r="J63" s="37"/>
      <c r="K63" s="37"/>
      <c r="L63" s="26" t="s">
        <v>47</v>
      </c>
      <c r="M63" s="1" t="s">
        <v>47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28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26" t="s">
        <v>37</v>
      </c>
      <c r="AG63" s="1" t="s">
        <v>37</v>
      </c>
      <c r="AH63" s="28" t="s">
        <v>37</v>
      </c>
      <c r="AI63" s="28" t="s">
        <v>127</v>
      </c>
      <c r="AJ63" s="40">
        <v>0</v>
      </c>
    </row>
    <row r="64" spans="1:36" ht="33" x14ac:dyDescent="0.25">
      <c r="A64" t="s">
        <v>113</v>
      </c>
      <c r="B64" s="34" t="s">
        <v>134</v>
      </c>
      <c r="C64" s="34" t="s">
        <v>144</v>
      </c>
      <c r="D64" s="32" t="str">
        <f t="shared" si="0"/>
        <v>Public transit yards, including #accessory# motor fuel pumps</v>
      </c>
      <c r="E64" s="37" t="e" cm="1">
        <f t="array" aca="1" ref="E64" ca="1">MID(C64,FIND("(",C64,LOOKUP(2,1/(MID(C64,ROW(INDIRECT("1:"&amp;LEN(C64))),1)="("),ROW(INDIRECT("1:"&amp;LEN(C64)))))+1,FIND(")",C64,LOOKUP(2,1/(MID(C64,ROW(INDIRECT("1:"&amp;LEN(C64))),1)="("),ROW(INDIRECT("1:"&amp;LEN(C64)))))-FIND("(",C64,LOOKUP(2,1/(MID(C64,ROW(INDIRECT("1:"&amp;LEN(C64))),1)="("),ROW(INDIRECT("1:"&amp;LEN(C64)))))-1)</f>
        <v>#N/A</v>
      </c>
      <c r="F64" s="37"/>
      <c r="G64" s="37"/>
      <c r="H64" s="37"/>
      <c r="I64" s="37"/>
      <c r="J64" s="37"/>
      <c r="K64" s="44" t="s">
        <v>515</v>
      </c>
      <c r="L64" s="27" t="s">
        <v>41</v>
      </c>
      <c r="M64" s="2" t="s">
        <v>41</v>
      </c>
      <c r="N64" s="2" t="s">
        <v>41</v>
      </c>
      <c r="O64" s="2" t="s">
        <v>41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9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  <c r="AD64" s="2" t="s">
        <v>41</v>
      </c>
      <c r="AE64" s="1" t="s">
        <v>37</v>
      </c>
      <c r="AF64" s="26" t="s">
        <v>37</v>
      </c>
      <c r="AG64" s="1" t="s">
        <v>37</v>
      </c>
      <c r="AH64" s="28" t="s">
        <v>37</v>
      </c>
      <c r="AI64" s="28" t="s">
        <v>127</v>
      </c>
      <c r="AJ64" s="40">
        <v>0</v>
      </c>
    </row>
    <row r="65" spans="1:36" ht="33" x14ac:dyDescent="0.25">
      <c r="A65" t="s">
        <v>113</v>
      </c>
      <c r="B65" s="34" t="s">
        <v>134</v>
      </c>
      <c r="C65" s="34" t="s">
        <v>145</v>
      </c>
      <c r="D65" s="32" t="str">
        <f t="shared" si="0"/>
        <v>Railroad or transit rights-of-way</v>
      </c>
      <c r="E65" s="37" t="e" cm="1">
        <f t="array" aca="1" ref="E65" ca="1">MID(C65,FIND("(",C65,LOOKUP(2,1/(MID(C65,ROW(INDIRECT("1:"&amp;LEN(C65))),1)="("),ROW(INDIRECT("1:"&amp;LEN(C65)))))+1,FIND(")",C65,LOOKUP(2,1/(MID(C65,ROW(INDIRECT("1:"&amp;LEN(C65))),1)="("),ROW(INDIRECT("1:"&amp;LEN(C65)))))-FIND("(",C65,LOOKUP(2,1/(MID(C65,ROW(INDIRECT("1:"&amp;LEN(C65))),1)="("),ROW(INDIRECT("1:"&amp;LEN(C65)))))-1)</f>
        <v>#N/A</v>
      </c>
      <c r="F65" s="37"/>
      <c r="G65" s="37"/>
      <c r="H65" s="37"/>
      <c r="I65" s="37"/>
      <c r="J65" s="37"/>
      <c r="K65" s="37"/>
      <c r="L65" s="26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28" t="s">
        <v>42</v>
      </c>
      <c r="X65" s="1" t="s">
        <v>137</v>
      </c>
      <c r="Y65" s="1" t="s">
        <v>137</v>
      </c>
      <c r="Z65" s="1" t="s">
        <v>137</v>
      </c>
      <c r="AA65" s="1" t="s">
        <v>137</v>
      </c>
      <c r="AB65" s="1" t="s">
        <v>137</v>
      </c>
      <c r="AC65" s="1" t="s">
        <v>137</v>
      </c>
      <c r="AD65" s="1" t="s">
        <v>137</v>
      </c>
      <c r="AE65" s="1" t="s">
        <v>137</v>
      </c>
      <c r="AF65" s="26" t="s">
        <v>137</v>
      </c>
      <c r="AG65" s="1" t="s">
        <v>137</v>
      </c>
      <c r="AH65" s="28" t="s">
        <v>137</v>
      </c>
      <c r="AI65" s="29" t="s">
        <v>43</v>
      </c>
      <c r="AJ65" s="40">
        <v>0</v>
      </c>
    </row>
    <row r="66" spans="1:36" ht="30" x14ac:dyDescent="0.25">
      <c r="A66" t="s">
        <v>113</v>
      </c>
      <c r="B66" s="34" t="s">
        <v>134</v>
      </c>
      <c r="C66" s="34" t="s">
        <v>146</v>
      </c>
      <c r="D66" s="32" t="str">
        <f t="shared" si="0"/>
        <v>Railroad passenger stations</v>
      </c>
      <c r="E66" s="37" t="e" cm="1">
        <f t="array" aca="1" ref="E66" ca="1">MID(C66,FIND("(",C66,LOOKUP(2,1/(MID(C66,ROW(INDIRECT("1:"&amp;LEN(C66))),1)="("),ROW(INDIRECT("1:"&amp;LEN(C66)))))+1,FIND(")",C66,LOOKUP(2,1/(MID(C66,ROW(INDIRECT("1:"&amp;LEN(C66))),1)="("),ROW(INDIRECT("1:"&amp;LEN(C66)))))-FIND("(",C66,LOOKUP(2,1/(MID(C66,ROW(INDIRECT("1:"&amp;LEN(C66))),1)="("),ROW(INDIRECT("1:"&amp;LEN(C66)))))-1)</f>
        <v>#N/A</v>
      </c>
      <c r="F66" s="37"/>
      <c r="G66" s="37"/>
      <c r="H66" s="37"/>
      <c r="I66" s="37"/>
      <c r="J66" s="37"/>
      <c r="K66" s="37"/>
      <c r="L66" s="26" t="s">
        <v>47</v>
      </c>
      <c r="M66" s="1" t="s">
        <v>47</v>
      </c>
      <c r="N66" s="1" t="s">
        <v>47</v>
      </c>
      <c r="O66" s="1" t="s">
        <v>47</v>
      </c>
      <c r="P66" s="1" t="s">
        <v>47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28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26" t="s">
        <v>47</v>
      </c>
      <c r="AG66" s="1" t="s">
        <v>47</v>
      </c>
      <c r="AH66" s="28" t="s">
        <v>47</v>
      </c>
      <c r="AI66" s="29" t="s">
        <v>43</v>
      </c>
      <c r="AJ66" s="40">
        <v>0</v>
      </c>
    </row>
    <row r="67" spans="1:36" ht="30" x14ac:dyDescent="0.25">
      <c r="A67" t="s">
        <v>113</v>
      </c>
      <c r="B67" s="34" t="s">
        <v>134</v>
      </c>
      <c r="C67" s="34" t="s">
        <v>147</v>
      </c>
      <c r="D67" s="32" t="str">
        <f t="shared" ref="D67:D130" si="1">_xlfn.TEXTAFTER(C67," - ",,,,C67)</f>
        <v>Seaplane bases</v>
      </c>
      <c r="E67" s="37" t="e" cm="1">
        <f t="array" aca="1" ref="E67" ca="1">MID(C67,FIND("(",C67,LOOKUP(2,1/(MID(C67,ROW(INDIRECT("1:"&amp;LEN(C67))),1)="("),ROW(INDIRECT("1:"&amp;LEN(C67)))))+1,FIND(")",C67,LOOKUP(2,1/(MID(C67,ROW(INDIRECT("1:"&amp;LEN(C67))),1)="("),ROW(INDIRECT("1:"&amp;LEN(C67)))))-FIND("(",C67,LOOKUP(2,1/(MID(C67,ROW(INDIRECT("1:"&amp;LEN(C67))),1)="("),ROW(INDIRECT("1:"&amp;LEN(C67)))))-1)</f>
        <v>#N/A</v>
      </c>
      <c r="F67" s="37"/>
      <c r="G67" s="37"/>
      <c r="H67" s="37"/>
      <c r="I67" s="37"/>
      <c r="J67" s="37"/>
      <c r="K67" s="37"/>
      <c r="L67" s="26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 t="s">
        <v>47</v>
      </c>
      <c r="R67" s="1" t="s">
        <v>47</v>
      </c>
      <c r="S67" s="1" t="s">
        <v>47</v>
      </c>
      <c r="T67" s="1" t="s">
        <v>47</v>
      </c>
      <c r="U67" s="1" t="s">
        <v>47</v>
      </c>
      <c r="V67" s="1" t="s">
        <v>47</v>
      </c>
      <c r="W67" s="28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26" t="s">
        <v>47</v>
      </c>
      <c r="AG67" s="1" t="s">
        <v>47</v>
      </c>
      <c r="AH67" s="28" t="s">
        <v>47</v>
      </c>
      <c r="AI67" s="29" t="s">
        <v>43</v>
      </c>
      <c r="AJ67" s="40">
        <v>0</v>
      </c>
    </row>
    <row r="68" spans="1:36" ht="33" x14ac:dyDescent="0.25">
      <c r="A68" t="s">
        <v>113</v>
      </c>
      <c r="B68" s="34" t="s">
        <v>134</v>
      </c>
      <c r="C68" s="34" t="s">
        <v>148</v>
      </c>
      <c r="D68" s="32" t="str">
        <f t="shared" si="1"/>
        <v>Truck weighing stations</v>
      </c>
      <c r="E68" s="37" t="e" cm="1">
        <f t="array" aca="1" ref="E68" ca="1">MID(C68,FIND("(",C68,LOOKUP(2,1/(MID(C68,ROW(INDIRECT("1:"&amp;LEN(C68))),1)="("),ROW(INDIRECT("1:"&amp;LEN(C68)))))+1,FIND(")",C68,LOOKUP(2,1/(MID(C68,ROW(INDIRECT("1:"&amp;LEN(C68))),1)="("),ROW(INDIRECT("1:"&amp;LEN(C68)))))-FIND("(",C68,LOOKUP(2,1/(MID(C68,ROW(INDIRECT("1:"&amp;LEN(C68))),1)="("),ROW(INDIRECT("1:"&amp;LEN(C68)))))-1)</f>
        <v>#N/A</v>
      </c>
      <c r="F68" s="37"/>
      <c r="G68" s="37"/>
      <c r="H68" s="37"/>
      <c r="I68" s="37"/>
      <c r="J68" s="37"/>
      <c r="K68" s="37"/>
      <c r="L68" s="27" t="s">
        <v>41</v>
      </c>
      <c r="M68" s="2" t="s">
        <v>41</v>
      </c>
      <c r="N68" s="2" t="s">
        <v>41</v>
      </c>
      <c r="O68" s="2" t="s">
        <v>41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41</v>
      </c>
      <c r="U68" s="2" t="s">
        <v>41</v>
      </c>
      <c r="V68" s="2" t="s">
        <v>41</v>
      </c>
      <c r="W68" s="29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  <c r="AD68" s="2" t="s">
        <v>41</v>
      </c>
      <c r="AE68" s="2" t="s">
        <v>41</v>
      </c>
      <c r="AF68" s="26" t="s">
        <v>37</v>
      </c>
      <c r="AG68" s="1" t="s">
        <v>37</v>
      </c>
      <c r="AH68" s="28" t="s">
        <v>37</v>
      </c>
      <c r="AI68" s="28" t="s">
        <v>127</v>
      </c>
      <c r="AJ68" s="40">
        <v>0</v>
      </c>
    </row>
    <row r="69" spans="1:36" ht="45" x14ac:dyDescent="0.25">
      <c r="A69" t="s">
        <v>149</v>
      </c>
      <c r="B69" s="34" t="s">
        <v>150</v>
      </c>
      <c r="C69" s="34" t="s">
        <v>151</v>
      </c>
      <c r="D69" s="32" t="str">
        <f t="shared" si="1"/>
        <v>#Energy infrastructure equipment#</v>
      </c>
      <c r="E69" s="37" t="e" cm="1">
        <f t="array" aca="1" ref="E69" ca="1">MID(C69,FIND("(",C69,LOOKUP(2,1/(MID(C69,ROW(INDIRECT("1:"&amp;LEN(C69))),1)="("),ROW(INDIRECT("1:"&amp;LEN(C69)))))+1,FIND(")",C69,LOOKUP(2,1/(MID(C69,ROW(INDIRECT("1:"&amp;LEN(C69))),1)="("),ROW(INDIRECT("1:"&amp;LEN(C69)))))-FIND("(",C69,LOOKUP(2,1/(MID(C69,ROW(INDIRECT("1:"&amp;LEN(C69))),1)="("),ROW(INDIRECT("1:"&amp;LEN(C69)))))-1)</f>
        <v>#N/A</v>
      </c>
      <c r="F69" s="37"/>
      <c r="G69" s="37"/>
      <c r="H69" s="37"/>
      <c r="I69" s="37"/>
      <c r="J69" s="37"/>
      <c r="K69" s="44" t="s">
        <v>516</v>
      </c>
      <c r="L69" s="26" t="s">
        <v>91</v>
      </c>
      <c r="M69" s="1" t="s">
        <v>91</v>
      </c>
      <c r="N69" s="1" t="s">
        <v>91</v>
      </c>
      <c r="O69" s="1" t="s">
        <v>91</v>
      </c>
      <c r="P69" s="1" t="s">
        <v>91</v>
      </c>
      <c r="Q69" s="1" t="s">
        <v>91</v>
      </c>
      <c r="R69" s="1" t="s">
        <v>91</v>
      </c>
      <c r="S69" s="1" t="s">
        <v>91</v>
      </c>
      <c r="T69" s="1" t="s">
        <v>91</v>
      </c>
      <c r="U69" s="1" t="s">
        <v>91</v>
      </c>
      <c r="V69" s="1" t="s">
        <v>91</v>
      </c>
      <c r="W69" s="28" t="s">
        <v>91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137</v>
      </c>
      <c r="AF69" s="26" t="s">
        <v>137</v>
      </c>
      <c r="AG69" s="1" t="s">
        <v>137</v>
      </c>
      <c r="AH69" s="28" t="s">
        <v>137</v>
      </c>
      <c r="AI69" s="29" t="s">
        <v>43</v>
      </c>
      <c r="AJ69" s="40">
        <v>0</v>
      </c>
    </row>
    <row r="70" spans="1:36" ht="33" x14ac:dyDescent="0.25">
      <c r="A70" t="s">
        <v>149</v>
      </c>
      <c r="B70" s="34" t="s">
        <v>150</v>
      </c>
      <c r="C70" s="34" t="s">
        <v>152</v>
      </c>
      <c r="D70" s="32" t="str">
        <f t="shared" si="1"/>
        <v>Public bicycle and micromobility parking</v>
      </c>
      <c r="E70" s="37" t="e" cm="1">
        <f t="array" aca="1" ref="E70" ca="1">MID(C70,FIND("(",C70,LOOKUP(2,1/(MID(C70,ROW(INDIRECT("1:"&amp;LEN(C70))),1)="("),ROW(INDIRECT("1:"&amp;LEN(C70)))))+1,FIND(")",C70,LOOKUP(2,1/(MID(C70,ROW(INDIRECT("1:"&amp;LEN(C70))),1)="("),ROW(INDIRECT("1:"&amp;LEN(C70)))))-FIND("(",C70,LOOKUP(2,1/(MID(C70,ROW(INDIRECT("1:"&amp;LEN(C70))),1)="("),ROW(INDIRECT("1:"&amp;LEN(C70)))))-1)</f>
        <v>#N/A</v>
      </c>
      <c r="F70" s="37"/>
      <c r="G70" s="37"/>
      <c r="H70" s="37"/>
      <c r="I70" s="37"/>
      <c r="J70" s="37"/>
      <c r="K70" s="37"/>
      <c r="L70" s="27" t="s">
        <v>41</v>
      </c>
      <c r="M70" s="2" t="s">
        <v>41</v>
      </c>
      <c r="N70" s="2" t="s">
        <v>41</v>
      </c>
      <c r="O70" s="2" t="s">
        <v>41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9" t="s">
        <v>41</v>
      </c>
      <c r="X70" s="1" t="s">
        <v>137</v>
      </c>
      <c r="Y70" s="1" t="s">
        <v>137</v>
      </c>
      <c r="Z70" s="1" t="s">
        <v>137</v>
      </c>
      <c r="AA70" s="1" t="s">
        <v>137</v>
      </c>
      <c r="AB70" s="1" t="s">
        <v>137</v>
      </c>
      <c r="AC70" s="1" t="s">
        <v>137</v>
      </c>
      <c r="AD70" s="1" t="s">
        <v>137</v>
      </c>
      <c r="AE70" s="1" t="s">
        <v>137</v>
      </c>
      <c r="AF70" s="26" t="s">
        <v>137</v>
      </c>
      <c r="AG70" s="1" t="s">
        <v>137</v>
      </c>
      <c r="AH70" s="28" t="s">
        <v>137</v>
      </c>
      <c r="AI70" s="29" t="s">
        <v>43</v>
      </c>
      <c r="AJ70" s="40">
        <v>0</v>
      </c>
    </row>
    <row r="71" spans="1:36" ht="33" x14ac:dyDescent="0.25">
      <c r="A71" t="s">
        <v>149</v>
      </c>
      <c r="B71" s="34" t="s">
        <v>150</v>
      </c>
      <c r="C71" s="34" t="s">
        <v>153</v>
      </c>
      <c r="D71" s="32" t="str">
        <f t="shared" si="1"/>
        <v>Recycling, or organic material, receiving</v>
      </c>
      <c r="E71" s="37" t="e" cm="1">
        <f t="array" aca="1" ref="E71" ca="1">MID(C71,FIND("(",C71,LOOKUP(2,1/(MID(C71,ROW(INDIRECT("1:"&amp;LEN(C71))),1)="("),ROW(INDIRECT("1:"&amp;LEN(C71)))))+1,FIND(")",C71,LOOKUP(2,1/(MID(C71,ROW(INDIRECT("1:"&amp;LEN(C71))),1)="("),ROW(INDIRECT("1:"&amp;LEN(C71)))))-FIND("(",C71,LOOKUP(2,1/(MID(C71,ROW(INDIRECT("1:"&amp;LEN(C71))),1)="("),ROW(INDIRECT("1:"&amp;LEN(C71)))))-1)</f>
        <v>#N/A</v>
      </c>
      <c r="F71" s="37"/>
      <c r="G71" s="37"/>
      <c r="H71" s="37"/>
      <c r="I71" s="37"/>
      <c r="J71" s="37"/>
      <c r="K71" s="37"/>
      <c r="L71" s="27" t="s">
        <v>41</v>
      </c>
      <c r="M71" s="2" t="s">
        <v>41</v>
      </c>
      <c r="N71" s="2" t="s">
        <v>41</v>
      </c>
      <c r="O71" s="2" t="s">
        <v>41</v>
      </c>
      <c r="P71" s="2" t="s">
        <v>41</v>
      </c>
      <c r="Q71" s="2" t="s">
        <v>41</v>
      </c>
      <c r="R71" s="2" t="s">
        <v>41</v>
      </c>
      <c r="S71" s="2" t="s">
        <v>41</v>
      </c>
      <c r="T71" s="2" t="s">
        <v>41</v>
      </c>
      <c r="U71" s="2" t="s">
        <v>41</v>
      </c>
      <c r="V71" s="2" t="s">
        <v>41</v>
      </c>
      <c r="W71" s="29" t="s">
        <v>41</v>
      </c>
      <c r="X71" s="1" t="s">
        <v>81</v>
      </c>
      <c r="Y71" s="1" t="s">
        <v>81</v>
      </c>
      <c r="Z71" s="1" t="s">
        <v>81</v>
      </c>
      <c r="AA71" s="1" t="s">
        <v>81</v>
      </c>
      <c r="AB71" s="1" t="s">
        <v>81</v>
      </c>
      <c r="AC71" s="1" t="s">
        <v>81</v>
      </c>
      <c r="AD71" s="1" t="s">
        <v>81</v>
      </c>
      <c r="AE71" s="1" t="s">
        <v>81</v>
      </c>
      <c r="AF71" s="26" t="s">
        <v>137</v>
      </c>
      <c r="AG71" s="1" t="s">
        <v>137</v>
      </c>
      <c r="AH71" s="28" t="s">
        <v>137</v>
      </c>
      <c r="AI71" s="29" t="s">
        <v>43</v>
      </c>
      <c r="AJ71" s="40">
        <v>0</v>
      </c>
    </row>
    <row r="72" spans="1:36" ht="33" x14ac:dyDescent="0.25">
      <c r="A72" t="s">
        <v>154</v>
      </c>
      <c r="B72" s="34" t="s">
        <v>155</v>
      </c>
      <c r="C72" s="34" t="s">
        <v>156</v>
      </c>
      <c r="D72" s="32" t="str">
        <f t="shared" si="1"/>
        <v>#Motels#</v>
      </c>
      <c r="E72" s="37" t="e" cm="1">
        <f t="array" aca="1" ref="E72" ca="1">MID(C72,FIND("(",C72,LOOKUP(2,1/(MID(C72,ROW(INDIRECT("1:"&amp;LEN(C72))),1)="("),ROW(INDIRECT("1:"&amp;LEN(C72)))))+1,FIND(")",C72,LOOKUP(2,1/(MID(C72,ROW(INDIRECT("1:"&amp;LEN(C72))),1)="("),ROW(INDIRECT("1:"&amp;LEN(C72)))))-FIND("(",C72,LOOKUP(2,1/(MID(C72,ROW(INDIRECT("1:"&amp;LEN(C72))),1)="("),ROW(INDIRECT("1:"&amp;LEN(C72)))))-1)</f>
        <v>#N/A</v>
      </c>
      <c r="F72" s="37"/>
      <c r="G72" s="37"/>
      <c r="H72" s="37"/>
      <c r="I72" s="37"/>
      <c r="J72" s="37"/>
      <c r="K72" s="44" t="s">
        <v>517</v>
      </c>
      <c r="L72" s="27" t="s">
        <v>41</v>
      </c>
      <c r="M72" s="2" t="s">
        <v>41</v>
      </c>
      <c r="N72" s="2" t="s">
        <v>41</v>
      </c>
      <c r="O72" s="2" t="s">
        <v>41</v>
      </c>
      <c r="P72" s="2" t="s">
        <v>41</v>
      </c>
      <c r="Q72" s="2" t="s">
        <v>41</v>
      </c>
      <c r="R72" s="2" t="s">
        <v>41</v>
      </c>
      <c r="S72" s="2" t="s">
        <v>41</v>
      </c>
      <c r="T72" s="2" t="s">
        <v>41</v>
      </c>
      <c r="U72" s="2" t="s">
        <v>41</v>
      </c>
      <c r="V72" s="2" t="s">
        <v>41</v>
      </c>
      <c r="W72" s="29" t="s">
        <v>41</v>
      </c>
      <c r="X72" s="1" t="s">
        <v>157</v>
      </c>
      <c r="Y72" s="1" t="s">
        <v>157</v>
      </c>
      <c r="Z72" s="2" t="s">
        <v>41</v>
      </c>
      <c r="AA72" s="1" t="s">
        <v>35</v>
      </c>
      <c r="AB72" s="1" t="s">
        <v>35</v>
      </c>
      <c r="AC72" s="1" t="s">
        <v>35</v>
      </c>
      <c r="AD72" s="1" t="s">
        <v>35</v>
      </c>
      <c r="AE72" s="1" t="s">
        <v>35</v>
      </c>
      <c r="AF72" s="26" t="s">
        <v>35</v>
      </c>
      <c r="AG72" s="2" t="s">
        <v>41</v>
      </c>
      <c r="AH72" s="29" t="s">
        <v>41</v>
      </c>
      <c r="AI72" s="28" t="s">
        <v>158</v>
      </c>
      <c r="AJ72" s="40">
        <v>0</v>
      </c>
    </row>
    <row r="73" spans="1:36" ht="33" x14ac:dyDescent="0.25">
      <c r="A73" t="s">
        <v>154</v>
      </c>
      <c r="B73" s="34" t="s">
        <v>155</v>
      </c>
      <c r="C73" s="34" t="s">
        <v>159</v>
      </c>
      <c r="D73" s="32" t="str">
        <f t="shared" si="1"/>
        <v>Overnight camps</v>
      </c>
      <c r="E73" s="37" t="e" cm="1">
        <f t="array" aca="1" ref="E73" ca="1">MID(C73,FIND("(",C73,LOOKUP(2,1/(MID(C73,ROW(INDIRECT("1:"&amp;LEN(C73))),1)="("),ROW(INDIRECT("1:"&amp;LEN(C73)))))+1,FIND(")",C73,LOOKUP(2,1/(MID(C73,ROW(INDIRECT("1:"&amp;LEN(C73))),1)="("),ROW(INDIRECT("1:"&amp;LEN(C73)))))-FIND("(",C73,LOOKUP(2,1/(MID(C73,ROW(INDIRECT("1:"&amp;LEN(C73))),1)="("),ROW(INDIRECT("1:"&amp;LEN(C73)))))-1)</f>
        <v>#N/A</v>
      </c>
      <c r="F73" s="37"/>
      <c r="G73" s="37"/>
      <c r="H73" s="37"/>
      <c r="I73" s="37"/>
      <c r="J73" s="37"/>
      <c r="K73" s="37"/>
      <c r="L73" s="26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 t="s">
        <v>47</v>
      </c>
      <c r="V73" s="1" t="s">
        <v>47</v>
      </c>
      <c r="W73" s="28" t="s">
        <v>47</v>
      </c>
      <c r="X73" s="1" t="s">
        <v>47</v>
      </c>
      <c r="Y73" s="1" t="s">
        <v>47</v>
      </c>
      <c r="Z73" s="1" t="s">
        <v>47</v>
      </c>
      <c r="AA73" s="2" t="s">
        <v>47</v>
      </c>
      <c r="AB73" s="2" t="s">
        <v>47</v>
      </c>
      <c r="AC73" s="2" t="s">
        <v>47</v>
      </c>
      <c r="AD73" s="2" t="s">
        <v>47</v>
      </c>
      <c r="AE73" s="1" t="s">
        <v>137</v>
      </c>
      <c r="AF73" s="26" t="s">
        <v>137</v>
      </c>
      <c r="AG73" s="1" t="s">
        <v>137</v>
      </c>
      <c r="AH73" s="28" t="s">
        <v>137</v>
      </c>
      <c r="AI73" s="28" t="s">
        <v>38</v>
      </c>
      <c r="AJ73" s="40">
        <v>0</v>
      </c>
    </row>
    <row r="74" spans="1:36" ht="33" x14ac:dyDescent="0.25">
      <c r="A74" t="s">
        <v>154</v>
      </c>
      <c r="B74" s="34" t="s">
        <v>155</v>
      </c>
      <c r="C74" s="34" t="s">
        <v>160</v>
      </c>
      <c r="D74" s="32" t="str">
        <f t="shared" si="1"/>
        <v>#Tourist cabins#</v>
      </c>
      <c r="E74" s="37" t="e" cm="1">
        <f t="array" aca="1" ref="E74" ca="1">MID(C74,FIND("(",C74,LOOKUP(2,1/(MID(C74,ROW(INDIRECT("1:"&amp;LEN(C74))),1)="("),ROW(INDIRECT("1:"&amp;LEN(C74)))))+1,FIND(")",C74,LOOKUP(2,1/(MID(C74,ROW(INDIRECT("1:"&amp;LEN(C74))),1)="("),ROW(INDIRECT("1:"&amp;LEN(C74)))))-FIND("(",C74,LOOKUP(2,1/(MID(C74,ROW(INDIRECT("1:"&amp;LEN(C74))),1)="("),ROW(INDIRECT("1:"&amp;LEN(C74)))))-1)</f>
        <v>#N/A</v>
      </c>
      <c r="F74" s="37"/>
      <c r="G74" s="37"/>
      <c r="H74" s="37"/>
      <c r="I74" s="37"/>
      <c r="J74" s="37"/>
      <c r="K74" s="44" t="s">
        <v>519</v>
      </c>
      <c r="L74" s="27" t="s">
        <v>41</v>
      </c>
      <c r="M74" s="2" t="s">
        <v>41</v>
      </c>
      <c r="N74" s="2" t="s">
        <v>41</v>
      </c>
      <c r="O74" s="2" t="s">
        <v>41</v>
      </c>
      <c r="P74" s="2" t="s">
        <v>41</v>
      </c>
      <c r="Q74" s="2" t="s">
        <v>41</v>
      </c>
      <c r="R74" s="2" t="s">
        <v>41</v>
      </c>
      <c r="S74" s="2" t="s">
        <v>41</v>
      </c>
      <c r="T74" s="2" t="s">
        <v>41</v>
      </c>
      <c r="U74" s="2" t="s">
        <v>41</v>
      </c>
      <c r="V74" s="2" t="s">
        <v>41</v>
      </c>
      <c r="W74" s="29" t="s">
        <v>41</v>
      </c>
      <c r="X74" s="1" t="s">
        <v>157</v>
      </c>
      <c r="Y74" s="1" t="s">
        <v>157</v>
      </c>
      <c r="Z74" s="2" t="s">
        <v>41</v>
      </c>
      <c r="AA74" s="1" t="s">
        <v>35</v>
      </c>
      <c r="AB74" s="1" t="s">
        <v>35</v>
      </c>
      <c r="AC74" s="1" t="s">
        <v>35</v>
      </c>
      <c r="AD74" s="1" t="s">
        <v>35</v>
      </c>
      <c r="AE74" s="1" t="s">
        <v>35</v>
      </c>
      <c r="AF74" s="26" t="s">
        <v>35</v>
      </c>
      <c r="AG74" s="2" t="s">
        <v>41</v>
      </c>
      <c r="AH74" s="29" t="s">
        <v>41</v>
      </c>
      <c r="AI74" s="28" t="s">
        <v>158</v>
      </c>
      <c r="AJ74" s="40">
        <v>0</v>
      </c>
    </row>
    <row r="75" spans="1:36" ht="33" x14ac:dyDescent="0.25">
      <c r="A75" t="s">
        <v>154</v>
      </c>
      <c r="B75" s="34" t="s">
        <v>155</v>
      </c>
      <c r="C75" s="34" t="s">
        <v>161</v>
      </c>
      <c r="D75" s="32" t="str">
        <f t="shared" si="1"/>
        <v>#Transient hotels#</v>
      </c>
      <c r="E75" s="37" t="e" cm="1">
        <f t="array" aca="1" ref="E75" ca="1">MID(C75,FIND("(",C75,LOOKUP(2,1/(MID(C75,ROW(INDIRECT("1:"&amp;LEN(C75))),1)="("),ROW(INDIRECT("1:"&amp;LEN(C75)))))+1,FIND(")",C75,LOOKUP(2,1/(MID(C75,ROW(INDIRECT("1:"&amp;LEN(C75))),1)="("),ROW(INDIRECT("1:"&amp;LEN(C75)))))-FIND("(",C75,LOOKUP(2,1/(MID(C75,ROW(INDIRECT("1:"&amp;LEN(C75))),1)="("),ROW(INDIRECT("1:"&amp;LEN(C75)))))-1)</f>
        <v>#N/A</v>
      </c>
      <c r="F75" s="37"/>
      <c r="G75" s="37"/>
      <c r="H75" s="37"/>
      <c r="I75" s="37"/>
      <c r="J75" s="37"/>
      <c r="K75" s="44" t="s">
        <v>518</v>
      </c>
      <c r="L75" s="27" t="s">
        <v>41</v>
      </c>
      <c r="M75" s="2" t="s">
        <v>41</v>
      </c>
      <c r="N75" s="2" t="s">
        <v>41</v>
      </c>
      <c r="O75" s="2" t="s">
        <v>41</v>
      </c>
      <c r="P75" s="2" t="s">
        <v>41</v>
      </c>
      <c r="Q75" s="2" t="s">
        <v>41</v>
      </c>
      <c r="R75" s="2" t="s">
        <v>41</v>
      </c>
      <c r="S75" s="2" t="s">
        <v>41</v>
      </c>
      <c r="T75" s="2" t="s">
        <v>41</v>
      </c>
      <c r="U75" s="1" t="s">
        <v>47</v>
      </c>
      <c r="V75" s="2" t="s">
        <v>41</v>
      </c>
      <c r="W75" s="29" t="s">
        <v>41</v>
      </c>
      <c r="X75" s="1" t="s">
        <v>157</v>
      </c>
      <c r="Y75" s="1" t="s">
        <v>157</v>
      </c>
      <c r="Z75" s="2" t="s">
        <v>41</v>
      </c>
      <c r="AA75" s="1" t="s">
        <v>35</v>
      </c>
      <c r="AB75" s="1" t="s">
        <v>35</v>
      </c>
      <c r="AC75" s="1" t="s">
        <v>35</v>
      </c>
      <c r="AD75" s="1" t="s">
        <v>35</v>
      </c>
      <c r="AE75" s="1" t="s">
        <v>35</v>
      </c>
      <c r="AF75" s="26" t="s">
        <v>35</v>
      </c>
      <c r="AG75" s="2" t="s">
        <v>41</v>
      </c>
      <c r="AH75" s="29" t="s">
        <v>41</v>
      </c>
      <c r="AI75" s="28" t="s">
        <v>162</v>
      </c>
      <c r="AJ75" s="40">
        <v>0</v>
      </c>
    </row>
    <row r="76" spans="1:36" ht="33" x14ac:dyDescent="0.25">
      <c r="A76" t="s">
        <v>163</v>
      </c>
      <c r="B76" s="34" t="s">
        <v>164</v>
      </c>
      <c r="C76" s="34" t="s">
        <v>165</v>
      </c>
      <c r="D76" s="32" t="str">
        <f t="shared" si="1"/>
        <v>Automobile dealers (4411)</v>
      </c>
      <c r="E76" s="37" t="str" cm="1">
        <f t="array" aca="1" ref="E76" ca="1">MID(C76,FIND("(",C76,LOOKUP(2,1/(MID(C76,ROW(INDIRECT("1:"&amp;LEN(C76))),1)="("),ROW(INDIRECT("1:"&amp;LEN(C76)))))+1,FIND(")",C76,LOOKUP(2,1/(MID(C76,ROW(INDIRECT("1:"&amp;LEN(C76))),1)="("),ROW(INDIRECT("1:"&amp;LEN(C76)))))-FIND("(",C76,LOOKUP(2,1/(MID(C76,ROW(INDIRECT("1:"&amp;LEN(C76))),1)="("),ROW(INDIRECT("1:"&amp;LEN(C76)))))-1)</f>
        <v>4411</v>
      </c>
      <c r="F76" s="37"/>
      <c r="G76" s="37"/>
      <c r="H76" s="37"/>
      <c r="I76" s="37"/>
      <c r="J76" s="37"/>
      <c r="K76" s="37"/>
      <c r="L76" s="30" t="s">
        <v>166</v>
      </c>
      <c r="M76" s="3" t="s">
        <v>166</v>
      </c>
      <c r="N76" s="3" t="s">
        <v>166</v>
      </c>
      <c r="O76" s="3" t="s">
        <v>166</v>
      </c>
      <c r="P76" s="3" t="s">
        <v>166</v>
      </c>
      <c r="Q76" s="3" t="s">
        <v>166</v>
      </c>
      <c r="R76" s="3" t="s">
        <v>166</v>
      </c>
      <c r="S76" s="3" t="s">
        <v>166</v>
      </c>
      <c r="T76" s="3" t="s">
        <v>166</v>
      </c>
      <c r="U76" s="3" t="s">
        <v>166</v>
      </c>
      <c r="V76" s="3" t="s">
        <v>166</v>
      </c>
      <c r="W76" s="31" t="s">
        <v>166</v>
      </c>
      <c r="X76" s="3" t="s">
        <v>166</v>
      </c>
      <c r="Y76" s="1" t="s">
        <v>35</v>
      </c>
      <c r="Z76" s="3" t="s">
        <v>166</v>
      </c>
      <c r="AA76" s="1" t="s">
        <v>35</v>
      </c>
      <c r="AB76" s="1" t="s">
        <v>35</v>
      </c>
      <c r="AC76" s="1" t="s">
        <v>35</v>
      </c>
      <c r="AD76" s="1" t="s">
        <v>35</v>
      </c>
      <c r="AE76" s="1" t="s">
        <v>137</v>
      </c>
      <c r="AF76" s="26" t="s">
        <v>137</v>
      </c>
      <c r="AG76" s="1" t="s">
        <v>137</v>
      </c>
      <c r="AH76" s="28" t="s">
        <v>137</v>
      </c>
      <c r="AI76" s="28" t="s">
        <v>108</v>
      </c>
      <c r="AJ76" s="40">
        <v>1</v>
      </c>
    </row>
    <row r="77" spans="1:36" ht="33" x14ac:dyDescent="0.25">
      <c r="A77" t="s">
        <v>163</v>
      </c>
      <c r="B77" s="34" t="s">
        <v>164</v>
      </c>
      <c r="C77" s="34" t="s">
        <v>167</v>
      </c>
      <c r="D77" s="32" t="str">
        <f t="shared" si="1"/>
        <v>Boat dealers (441222)</v>
      </c>
      <c r="E77" s="37" t="str" cm="1">
        <f t="array" aca="1" ref="E77" ca="1">MID(C77,FIND("(",C77,LOOKUP(2,1/(MID(C77,ROW(INDIRECT("1:"&amp;LEN(C77))),1)="("),ROW(INDIRECT("1:"&amp;LEN(C77)))))+1,FIND(")",C77,LOOKUP(2,1/(MID(C77,ROW(INDIRECT("1:"&amp;LEN(C77))),1)="("),ROW(INDIRECT("1:"&amp;LEN(C77)))))-FIND("(",C77,LOOKUP(2,1/(MID(C77,ROW(INDIRECT("1:"&amp;LEN(C77))),1)="("),ROW(INDIRECT("1:"&amp;LEN(C77)))))-1)</f>
        <v>441222</v>
      </c>
      <c r="F77" s="37"/>
      <c r="G77" s="37"/>
      <c r="H77" s="37"/>
      <c r="I77" s="37"/>
      <c r="J77" s="37"/>
      <c r="K77" s="37"/>
      <c r="L77" s="30" t="s">
        <v>166</v>
      </c>
      <c r="M77" s="3" t="s">
        <v>166</v>
      </c>
      <c r="N77" s="3" t="s">
        <v>166</v>
      </c>
      <c r="O77" s="3" t="s">
        <v>166</v>
      </c>
      <c r="P77" s="3" t="s">
        <v>166</v>
      </c>
      <c r="Q77" s="3" t="s">
        <v>166</v>
      </c>
      <c r="R77" s="3" t="s">
        <v>166</v>
      </c>
      <c r="S77" s="3" t="s">
        <v>166</v>
      </c>
      <c r="T77" s="3" t="s">
        <v>166</v>
      </c>
      <c r="U77" s="3" t="s">
        <v>166</v>
      </c>
      <c r="V77" s="3" t="s">
        <v>166</v>
      </c>
      <c r="W77" s="31" t="s">
        <v>166</v>
      </c>
      <c r="X77" s="3" t="s">
        <v>166</v>
      </c>
      <c r="Y77" s="1" t="s">
        <v>35</v>
      </c>
      <c r="Z77" s="1" t="s">
        <v>37</v>
      </c>
      <c r="AA77" s="1" t="s">
        <v>35</v>
      </c>
      <c r="AB77" s="1" t="s">
        <v>35</v>
      </c>
      <c r="AC77" s="1" t="s">
        <v>35</v>
      </c>
      <c r="AD77" s="1" t="s">
        <v>35</v>
      </c>
      <c r="AE77" s="1" t="s">
        <v>137</v>
      </c>
      <c r="AF77" s="26" t="s">
        <v>137</v>
      </c>
      <c r="AG77" s="1" t="s">
        <v>137</v>
      </c>
      <c r="AH77" s="28" t="s">
        <v>137</v>
      </c>
      <c r="AI77" s="28" t="s">
        <v>108</v>
      </c>
      <c r="AJ77" s="40">
        <v>1</v>
      </c>
    </row>
    <row r="78" spans="1:36" ht="33" x14ac:dyDescent="0.25">
      <c r="A78" t="s">
        <v>163</v>
      </c>
      <c r="B78" s="34" t="s">
        <v>164</v>
      </c>
      <c r="C78" s="34" t="s">
        <v>168</v>
      </c>
      <c r="D78" s="32" t="str">
        <f t="shared" si="1"/>
        <v>All other motor vehicle dealers (in 4412)</v>
      </c>
      <c r="E78" s="37" t="str" cm="1">
        <f t="array" aca="1" ref="E78" ca="1">MID(C78,FIND("(",C78,LOOKUP(2,1/(MID(C78,ROW(INDIRECT("1:"&amp;LEN(C78))),1)="("),ROW(INDIRECT("1:"&amp;LEN(C78)))))+1,FIND(")",C78,LOOKUP(2,1/(MID(C78,ROW(INDIRECT("1:"&amp;LEN(C78))),1)="("),ROW(INDIRECT("1:"&amp;LEN(C78)))))-FIND("(",C78,LOOKUP(2,1/(MID(C78,ROW(INDIRECT("1:"&amp;LEN(C78))),1)="("),ROW(INDIRECT("1:"&amp;LEN(C78)))))-1)</f>
        <v>in 4412</v>
      </c>
      <c r="F78" s="37" t="s">
        <v>169</v>
      </c>
      <c r="G78" s="37"/>
      <c r="H78" s="37"/>
      <c r="I78" s="37">
        <v>441222</v>
      </c>
      <c r="J78" s="37"/>
      <c r="K78" s="37"/>
      <c r="L78" s="30" t="s">
        <v>166</v>
      </c>
      <c r="M78" s="3" t="s">
        <v>166</v>
      </c>
      <c r="N78" s="3" t="s">
        <v>166</v>
      </c>
      <c r="O78" s="3" t="s">
        <v>166</v>
      </c>
      <c r="P78" s="3" t="s">
        <v>166</v>
      </c>
      <c r="Q78" s="3" t="s">
        <v>166</v>
      </c>
      <c r="R78" s="3" t="s">
        <v>166</v>
      </c>
      <c r="S78" s="3" t="s">
        <v>166</v>
      </c>
      <c r="T78" s="3" t="s">
        <v>166</v>
      </c>
      <c r="U78" s="3" t="s">
        <v>166</v>
      </c>
      <c r="V78" s="3" t="s">
        <v>166</v>
      </c>
      <c r="W78" s="31" t="s">
        <v>166</v>
      </c>
      <c r="X78" s="3" t="s">
        <v>166</v>
      </c>
      <c r="Y78" s="1" t="s">
        <v>35</v>
      </c>
      <c r="Z78" s="3" t="s">
        <v>166</v>
      </c>
      <c r="AA78" s="1" t="s">
        <v>35</v>
      </c>
      <c r="AB78" s="1" t="s">
        <v>35</v>
      </c>
      <c r="AC78" s="1" t="s">
        <v>35</v>
      </c>
      <c r="AD78" s="1" t="s">
        <v>35</v>
      </c>
      <c r="AE78" s="1" t="s">
        <v>137</v>
      </c>
      <c r="AF78" s="26" t="s">
        <v>137</v>
      </c>
      <c r="AG78" s="1" t="s">
        <v>137</v>
      </c>
      <c r="AH78" s="28" t="s">
        <v>137</v>
      </c>
      <c r="AI78" s="28" t="s">
        <v>108</v>
      </c>
      <c r="AJ78" s="40">
        <v>3</v>
      </c>
    </row>
    <row r="79" spans="1:36" ht="30" x14ac:dyDescent="0.25">
      <c r="A79" t="s">
        <v>163</v>
      </c>
      <c r="B79" s="34" t="s">
        <v>164</v>
      </c>
      <c r="C79" s="34" t="s">
        <v>170</v>
      </c>
      <c r="D79" s="32" t="str">
        <f t="shared" si="1"/>
        <v>Automotive parts, accessories and tire retailers (4413)</v>
      </c>
      <c r="E79" s="37" t="str" cm="1">
        <f t="array" aca="1" ref="E79" ca="1">MID(C79,FIND("(",C79,LOOKUP(2,1/(MID(C79,ROW(INDIRECT("1:"&amp;LEN(C79))),1)="("),ROW(INDIRECT("1:"&amp;LEN(C79)))))+1,FIND(")",C79,LOOKUP(2,1/(MID(C79,ROW(INDIRECT("1:"&amp;LEN(C79))),1)="("),ROW(INDIRECT("1:"&amp;LEN(C79)))))-FIND("(",C79,LOOKUP(2,1/(MID(C79,ROW(INDIRECT("1:"&amp;LEN(C79))),1)="("),ROW(INDIRECT("1:"&amp;LEN(C79)))))-1)</f>
        <v>4413</v>
      </c>
      <c r="F79" s="37"/>
      <c r="G79" s="37"/>
      <c r="H79" s="37"/>
      <c r="I79" s="37"/>
      <c r="J79" s="37"/>
      <c r="K79" s="37"/>
      <c r="L79" s="30" t="s">
        <v>166</v>
      </c>
      <c r="M79" s="3" t="s">
        <v>166</v>
      </c>
      <c r="N79" s="3" t="s">
        <v>166</v>
      </c>
      <c r="O79" s="3" t="s">
        <v>166</v>
      </c>
      <c r="P79" s="3" t="s">
        <v>166</v>
      </c>
      <c r="Q79" s="3" t="s">
        <v>166</v>
      </c>
      <c r="R79" s="3" t="s">
        <v>166</v>
      </c>
      <c r="S79" s="3" t="s">
        <v>166</v>
      </c>
      <c r="T79" s="3" t="s">
        <v>166</v>
      </c>
      <c r="U79" s="3" t="s">
        <v>166</v>
      </c>
      <c r="V79" s="3" t="s">
        <v>166</v>
      </c>
      <c r="W79" s="31" t="s">
        <v>166</v>
      </c>
      <c r="X79" s="1" t="s">
        <v>42</v>
      </c>
      <c r="Y79" s="1" t="s">
        <v>42</v>
      </c>
      <c r="Z79" s="3" t="s">
        <v>166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26" t="s">
        <v>42</v>
      </c>
      <c r="AG79" s="1" t="s">
        <v>42</v>
      </c>
      <c r="AH79" s="28" t="s">
        <v>42</v>
      </c>
      <c r="AI79" s="28" t="s">
        <v>171</v>
      </c>
      <c r="AJ79" s="40">
        <v>1</v>
      </c>
    </row>
    <row r="80" spans="1:36" ht="45" x14ac:dyDescent="0.25">
      <c r="A80" t="s">
        <v>163</v>
      </c>
      <c r="B80" s="34" t="s">
        <v>172</v>
      </c>
      <c r="C80" s="34" t="s">
        <v>173</v>
      </c>
      <c r="D80" s="32" t="str">
        <f t="shared" si="1"/>
        <v>Lumber yards, retail (in 444180)</v>
      </c>
      <c r="E80" s="37" t="s">
        <v>472</v>
      </c>
      <c r="F80" s="37" t="s">
        <v>174</v>
      </c>
      <c r="G80" s="37" t="s">
        <v>485</v>
      </c>
      <c r="H80" s="37"/>
      <c r="I80" s="37"/>
      <c r="J80" s="37"/>
      <c r="K80" s="37"/>
      <c r="L80" s="30" t="s">
        <v>166</v>
      </c>
      <c r="M80" s="3" t="s">
        <v>166</v>
      </c>
      <c r="N80" s="3" t="s">
        <v>166</v>
      </c>
      <c r="O80" s="3" t="s">
        <v>166</v>
      </c>
      <c r="P80" s="3" t="s">
        <v>166</v>
      </c>
      <c r="Q80" s="3" t="s">
        <v>166</v>
      </c>
      <c r="R80" s="3" t="s">
        <v>166</v>
      </c>
      <c r="S80" s="3" t="s">
        <v>166</v>
      </c>
      <c r="T80" s="3" t="s">
        <v>166</v>
      </c>
      <c r="U80" s="3" t="s">
        <v>166</v>
      </c>
      <c r="V80" s="3" t="s">
        <v>166</v>
      </c>
      <c r="W80" s="31" t="s">
        <v>166</v>
      </c>
      <c r="X80" s="3" t="s">
        <v>166</v>
      </c>
      <c r="Y80" s="1" t="s">
        <v>81</v>
      </c>
      <c r="Z80" s="3" t="s">
        <v>166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137</v>
      </c>
      <c r="AF80" s="26" t="s">
        <v>137</v>
      </c>
      <c r="AG80" s="1" t="s">
        <v>137</v>
      </c>
      <c r="AH80" s="28" t="s">
        <v>137</v>
      </c>
      <c r="AI80" s="28" t="s">
        <v>175</v>
      </c>
      <c r="AJ80" s="40">
        <v>4</v>
      </c>
    </row>
    <row r="81" spans="1:36" ht="45" x14ac:dyDescent="0.25">
      <c r="A81" t="s">
        <v>163</v>
      </c>
      <c r="B81" s="34" t="s">
        <v>172</v>
      </c>
      <c r="C81" s="34" t="s">
        <v>176</v>
      </c>
      <c r="D81" s="32" t="str">
        <f t="shared" si="1"/>
        <v>All other building material and supplies dealers (in 4441)</v>
      </c>
      <c r="E81" s="37" t="str" cm="1">
        <f t="array" aca="1" ref="E81" ca="1">MID(C81,FIND("(",C81,LOOKUP(2,1/(MID(C81,ROW(INDIRECT("1:"&amp;LEN(C81))),1)="("),ROW(INDIRECT("1:"&amp;LEN(C81)))))+1,FIND(")",C81,LOOKUP(2,1/(MID(C81,ROW(INDIRECT("1:"&amp;LEN(C81))),1)="("),ROW(INDIRECT("1:"&amp;LEN(C81)))))-FIND("(",C81,LOOKUP(2,1/(MID(C81,ROW(INDIRECT("1:"&amp;LEN(C81))),1)="("),ROW(INDIRECT("1:"&amp;LEN(C81)))))-1)</f>
        <v>in 4441</v>
      </c>
      <c r="F81" s="37" t="s">
        <v>177</v>
      </c>
      <c r="G81" s="37"/>
      <c r="H81" s="37"/>
      <c r="I81" s="37">
        <v>444180</v>
      </c>
      <c r="J81" s="37"/>
      <c r="K81" s="37"/>
      <c r="L81" s="30" t="s">
        <v>166</v>
      </c>
      <c r="M81" s="3" t="s">
        <v>166</v>
      </c>
      <c r="N81" s="3" t="s">
        <v>166</v>
      </c>
      <c r="O81" s="3" t="s">
        <v>166</v>
      </c>
      <c r="P81" s="3" t="s">
        <v>166</v>
      </c>
      <c r="Q81" s="3" t="s">
        <v>166</v>
      </c>
      <c r="R81" s="3" t="s">
        <v>166</v>
      </c>
      <c r="S81" s="3" t="s">
        <v>166</v>
      </c>
      <c r="T81" s="3" t="s">
        <v>166</v>
      </c>
      <c r="U81" s="3" t="s">
        <v>166</v>
      </c>
      <c r="V81" s="3" t="s">
        <v>166</v>
      </c>
      <c r="W81" s="31" t="s">
        <v>166</v>
      </c>
      <c r="X81" s="1" t="s">
        <v>81</v>
      </c>
      <c r="Y81" s="1" t="s">
        <v>81</v>
      </c>
      <c r="Z81" s="3" t="s">
        <v>166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137</v>
      </c>
      <c r="AF81" s="26" t="s">
        <v>137</v>
      </c>
      <c r="AG81" s="1" t="s">
        <v>137</v>
      </c>
      <c r="AH81" s="28" t="s">
        <v>137</v>
      </c>
      <c r="AI81" s="28" t="s">
        <v>175</v>
      </c>
      <c r="AJ81" s="40">
        <v>3</v>
      </c>
    </row>
    <row r="82" spans="1:36" ht="45" x14ac:dyDescent="0.25">
      <c r="A82" t="s">
        <v>163</v>
      </c>
      <c r="B82" s="34" t="s">
        <v>172</v>
      </c>
      <c r="C82" s="34" t="s">
        <v>178</v>
      </c>
      <c r="D82" s="32" t="str">
        <f t="shared" si="1"/>
        <v>Lawn and garden equipment and supplies retailers (4442)</v>
      </c>
      <c r="E82" s="37" t="str" cm="1">
        <f t="array" aca="1" ref="E82" ca="1">MID(C82,FIND("(",C82,LOOKUP(2,1/(MID(C82,ROW(INDIRECT("1:"&amp;LEN(C82))),1)="("),ROW(INDIRECT("1:"&amp;LEN(C82)))))+1,FIND(")",C82,LOOKUP(2,1/(MID(C82,ROW(INDIRECT("1:"&amp;LEN(C82))),1)="("),ROW(INDIRECT("1:"&amp;LEN(C82)))))-FIND("(",C82,LOOKUP(2,1/(MID(C82,ROW(INDIRECT("1:"&amp;LEN(C82))),1)="("),ROW(INDIRECT("1:"&amp;LEN(C82)))))-1)</f>
        <v>4442</v>
      </c>
      <c r="F82" s="37"/>
      <c r="G82" s="37"/>
      <c r="H82" s="37"/>
      <c r="I82" s="37"/>
      <c r="J82" s="37"/>
      <c r="K82" s="37"/>
      <c r="L82" s="30" t="s">
        <v>166</v>
      </c>
      <c r="M82" s="3" t="s">
        <v>166</v>
      </c>
      <c r="N82" s="3" t="s">
        <v>166</v>
      </c>
      <c r="O82" s="3" t="s">
        <v>166</v>
      </c>
      <c r="P82" s="3" t="s">
        <v>166</v>
      </c>
      <c r="Q82" s="3" t="s">
        <v>166</v>
      </c>
      <c r="R82" s="3" t="s">
        <v>166</v>
      </c>
      <c r="S82" s="3" t="s">
        <v>166</v>
      </c>
      <c r="T82" s="3" t="s">
        <v>166</v>
      </c>
      <c r="U82" s="3" t="s">
        <v>166</v>
      </c>
      <c r="V82" s="3" t="s">
        <v>166</v>
      </c>
      <c r="W82" s="31" t="s">
        <v>166</v>
      </c>
      <c r="X82" s="8" t="s">
        <v>179</v>
      </c>
      <c r="Y82" s="1" t="s">
        <v>137</v>
      </c>
      <c r="Z82" s="3" t="s">
        <v>166</v>
      </c>
      <c r="AA82" s="1" t="s">
        <v>137</v>
      </c>
      <c r="AB82" s="1" t="s">
        <v>137</v>
      </c>
      <c r="AC82" s="1" t="s">
        <v>137</v>
      </c>
      <c r="AD82" s="1" t="s">
        <v>137</v>
      </c>
      <c r="AE82" s="1" t="s">
        <v>137</v>
      </c>
      <c r="AF82" s="26" t="s">
        <v>137</v>
      </c>
      <c r="AG82" s="1" t="s">
        <v>137</v>
      </c>
      <c r="AH82" s="28" t="s">
        <v>137</v>
      </c>
      <c r="AI82" s="28" t="s">
        <v>171</v>
      </c>
      <c r="AJ82" s="40">
        <v>1</v>
      </c>
    </row>
    <row r="83" spans="1:36" ht="33" x14ac:dyDescent="0.25">
      <c r="A83" t="s">
        <v>163</v>
      </c>
      <c r="B83" s="34" t="s">
        <v>180</v>
      </c>
      <c r="C83" s="34" t="s">
        <v>181</v>
      </c>
      <c r="D83" s="32" t="str">
        <f t="shared" si="1"/>
        <v>Grocery and convenience retailers (4451)</v>
      </c>
      <c r="E83" s="37" t="str" cm="1">
        <f t="array" aca="1" ref="E83" ca="1">MID(C83,FIND("(",C83,LOOKUP(2,1/(MID(C83,ROW(INDIRECT("1:"&amp;LEN(C83))),1)="("),ROW(INDIRECT("1:"&amp;LEN(C83)))))+1,FIND(")",C83,LOOKUP(2,1/(MID(C83,ROW(INDIRECT("1:"&amp;LEN(C83))),1)="("),ROW(INDIRECT("1:"&amp;LEN(C83)))))-FIND("(",C83,LOOKUP(2,1/(MID(C83,ROW(INDIRECT("1:"&amp;LEN(C83))),1)="("),ROW(INDIRECT("1:"&amp;LEN(C83)))))-1)</f>
        <v>4451</v>
      </c>
      <c r="F83" s="37"/>
      <c r="G83" s="37"/>
      <c r="H83" s="37"/>
      <c r="I83" s="37"/>
      <c r="J83" s="37"/>
      <c r="K83" s="37"/>
      <c r="L83" s="30" t="s">
        <v>166</v>
      </c>
      <c r="M83" s="3" t="s">
        <v>166</v>
      </c>
      <c r="N83" s="3" t="s">
        <v>166</v>
      </c>
      <c r="O83" s="3" t="s">
        <v>166</v>
      </c>
      <c r="P83" s="3" t="s">
        <v>166</v>
      </c>
      <c r="Q83" s="3" t="s">
        <v>166</v>
      </c>
      <c r="R83" s="3" t="s">
        <v>166</v>
      </c>
      <c r="S83" s="3" t="s">
        <v>166</v>
      </c>
      <c r="T83" s="3" t="s">
        <v>166</v>
      </c>
      <c r="U83" s="3" t="s">
        <v>166</v>
      </c>
      <c r="V83" s="3" t="s">
        <v>166</v>
      </c>
      <c r="W83" s="31" t="s">
        <v>166</v>
      </c>
      <c r="X83" s="1" t="s">
        <v>42</v>
      </c>
      <c r="Y83" s="1" t="s">
        <v>42</v>
      </c>
      <c r="Z83" s="3" t="s">
        <v>166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26" t="s">
        <v>81</v>
      </c>
      <c r="AG83" s="1" t="s">
        <v>81</v>
      </c>
      <c r="AH83" s="28" t="s">
        <v>81</v>
      </c>
      <c r="AI83" s="28" t="s">
        <v>182</v>
      </c>
      <c r="AJ83" s="40">
        <v>1</v>
      </c>
    </row>
    <row r="84" spans="1:36" ht="33" x14ac:dyDescent="0.25">
      <c r="A84" t="s">
        <v>163</v>
      </c>
      <c r="B84" s="34" t="s">
        <v>180</v>
      </c>
      <c r="C84" s="34" t="s">
        <v>183</v>
      </c>
      <c r="D84" s="32" t="str">
        <f t="shared" si="1"/>
        <v>Specialty food retailers (4452)</v>
      </c>
      <c r="E84" s="37" t="str" cm="1">
        <f t="array" aca="1" ref="E84" ca="1">MID(C84,FIND("(",C84,LOOKUP(2,1/(MID(C84,ROW(INDIRECT("1:"&amp;LEN(C84))),1)="("),ROW(INDIRECT("1:"&amp;LEN(C84)))))+1,FIND(")",C84,LOOKUP(2,1/(MID(C84,ROW(INDIRECT("1:"&amp;LEN(C84))),1)="("),ROW(INDIRECT("1:"&amp;LEN(C84)))))-FIND("(",C84,LOOKUP(2,1/(MID(C84,ROW(INDIRECT("1:"&amp;LEN(C84))),1)="("),ROW(INDIRECT("1:"&amp;LEN(C84)))))-1)</f>
        <v>4452</v>
      </c>
      <c r="F84" s="37"/>
      <c r="G84" s="37"/>
      <c r="H84" s="37"/>
      <c r="I84" s="37"/>
      <c r="J84" s="37"/>
      <c r="K84" s="37"/>
      <c r="L84" s="30" t="s">
        <v>166</v>
      </c>
      <c r="M84" s="3" t="s">
        <v>166</v>
      </c>
      <c r="N84" s="3" t="s">
        <v>166</v>
      </c>
      <c r="O84" s="3" t="s">
        <v>166</v>
      </c>
      <c r="P84" s="3" t="s">
        <v>166</v>
      </c>
      <c r="Q84" s="3" t="s">
        <v>166</v>
      </c>
      <c r="R84" s="3" t="s">
        <v>166</v>
      </c>
      <c r="S84" s="3" t="s">
        <v>166</v>
      </c>
      <c r="T84" s="3" t="s">
        <v>166</v>
      </c>
      <c r="U84" s="3" t="s">
        <v>166</v>
      </c>
      <c r="V84" s="3" t="s">
        <v>166</v>
      </c>
      <c r="W84" s="31" t="s">
        <v>166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26" t="s">
        <v>81</v>
      </c>
      <c r="AG84" s="1" t="s">
        <v>81</v>
      </c>
      <c r="AH84" s="28" t="s">
        <v>81</v>
      </c>
      <c r="AI84" s="28" t="s">
        <v>182</v>
      </c>
      <c r="AJ84" s="40">
        <v>1</v>
      </c>
    </row>
    <row r="85" spans="1:36" ht="30" x14ac:dyDescent="0.25">
      <c r="A85" t="s">
        <v>163</v>
      </c>
      <c r="B85" s="34" t="s">
        <v>180</v>
      </c>
      <c r="C85" s="34" t="s">
        <v>184</v>
      </c>
      <c r="D85" s="32" t="str">
        <f t="shared" si="1"/>
        <v>Beer, wine and liquor retailers (4453)</v>
      </c>
      <c r="E85" s="37" t="str" cm="1">
        <f t="array" aca="1" ref="E85" ca="1">MID(C85,FIND("(",C85,LOOKUP(2,1/(MID(C85,ROW(INDIRECT("1:"&amp;LEN(C85))),1)="("),ROW(INDIRECT("1:"&amp;LEN(C85)))))+1,FIND(")",C85,LOOKUP(2,1/(MID(C85,ROW(INDIRECT("1:"&amp;LEN(C85))),1)="("),ROW(INDIRECT("1:"&amp;LEN(C85)))))-FIND("(",C85,LOOKUP(2,1/(MID(C85,ROW(INDIRECT("1:"&amp;LEN(C85))),1)="("),ROW(INDIRECT("1:"&amp;LEN(C85)))))-1)</f>
        <v>4453</v>
      </c>
      <c r="F85" s="37"/>
      <c r="G85" s="37"/>
      <c r="H85" s="37"/>
      <c r="I85" s="37"/>
      <c r="J85" s="37"/>
      <c r="K85" s="37"/>
      <c r="L85" s="30" t="s">
        <v>166</v>
      </c>
      <c r="M85" s="3" t="s">
        <v>166</v>
      </c>
      <c r="N85" s="3" t="s">
        <v>166</v>
      </c>
      <c r="O85" s="3" t="s">
        <v>166</v>
      </c>
      <c r="P85" s="3" t="s">
        <v>166</v>
      </c>
      <c r="Q85" s="3" t="s">
        <v>166</v>
      </c>
      <c r="R85" s="3" t="s">
        <v>166</v>
      </c>
      <c r="S85" s="3" t="s">
        <v>166</v>
      </c>
      <c r="T85" s="3" t="s">
        <v>166</v>
      </c>
      <c r="U85" s="3" t="s">
        <v>166</v>
      </c>
      <c r="V85" s="3" t="s">
        <v>166</v>
      </c>
      <c r="W85" s="31" t="s">
        <v>166</v>
      </c>
      <c r="X85" s="1" t="s">
        <v>42</v>
      </c>
      <c r="Y85" s="1" t="s">
        <v>42</v>
      </c>
      <c r="Z85" s="3" t="s">
        <v>166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26" t="s">
        <v>42</v>
      </c>
      <c r="AG85" s="1" t="s">
        <v>42</v>
      </c>
      <c r="AH85" s="28" t="s">
        <v>42</v>
      </c>
      <c r="AI85" s="28" t="s">
        <v>171</v>
      </c>
      <c r="AJ85" s="40">
        <v>1</v>
      </c>
    </row>
    <row r="86" spans="1:36" ht="45" x14ac:dyDescent="0.25">
      <c r="A86" t="s">
        <v>163</v>
      </c>
      <c r="B86" s="34" t="s">
        <v>185</v>
      </c>
      <c r="C86" s="34" t="s">
        <v>186</v>
      </c>
      <c r="D86" s="32" t="str">
        <f t="shared" si="1"/>
        <v>Furniture and home furnishing retailers (4491)</v>
      </c>
      <c r="E86" s="37" t="str" cm="1">
        <f t="array" aca="1" ref="E86" ca="1">MID(C86,FIND("(",C86,LOOKUP(2,1/(MID(C86,ROW(INDIRECT("1:"&amp;LEN(C86))),1)="("),ROW(INDIRECT("1:"&amp;LEN(C86)))))+1,FIND(")",C86,LOOKUP(2,1/(MID(C86,ROW(INDIRECT("1:"&amp;LEN(C86))),1)="("),ROW(INDIRECT("1:"&amp;LEN(C86)))))-FIND("(",C86,LOOKUP(2,1/(MID(C86,ROW(INDIRECT("1:"&amp;LEN(C86))),1)="("),ROW(INDIRECT("1:"&amp;LEN(C86)))))-1)</f>
        <v>4491</v>
      </c>
      <c r="F86" s="37"/>
      <c r="G86" s="37"/>
      <c r="H86" s="37"/>
      <c r="I86" s="37"/>
      <c r="J86" s="37"/>
      <c r="K86" s="37"/>
      <c r="L86" s="30" t="s">
        <v>166</v>
      </c>
      <c r="M86" s="3" t="s">
        <v>166</v>
      </c>
      <c r="N86" s="3" t="s">
        <v>166</v>
      </c>
      <c r="O86" s="3" t="s">
        <v>166</v>
      </c>
      <c r="P86" s="3" t="s">
        <v>166</v>
      </c>
      <c r="Q86" s="3" t="s">
        <v>166</v>
      </c>
      <c r="R86" s="3" t="s">
        <v>166</v>
      </c>
      <c r="S86" s="3" t="s">
        <v>166</v>
      </c>
      <c r="T86" s="3" t="s">
        <v>166</v>
      </c>
      <c r="U86" s="3" t="s">
        <v>166</v>
      </c>
      <c r="V86" s="3" t="s">
        <v>166</v>
      </c>
      <c r="W86" s="31" t="s">
        <v>166</v>
      </c>
      <c r="X86" s="1" t="s">
        <v>81</v>
      </c>
      <c r="Y86" s="1" t="s">
        <v>81</v>
      </c>
      <c r="Z86" s="3" t="s">
        <v>166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26" t="s">
        <v>81</v>
      </c>
      <c r="AG86" s="3" t="s">
        <v>166</v>
      </c>
      <c r="AH86" s="31" t="s">
        <v>166</v>
      </c>
      <c r="AI86" s="28" t="s">
        <v>175</v>
      </c>
      <c r="AJ86" s="40">
        <v>1</v>
      </c>
    </row>
    <row r="87" spans="1:36" ht="45" x14ac:dyDescent="0.25">
      <c r="A87" t="s">
        <v>163</v>
      </c>
      <c r="B87" s="34" t="s">
        <v>185</v>
      </c>
      <c r="C87" s="34" t="s">
        <v>187</v>
      </c>
      <c r="D87" s="32" t="str">
        <f t="shared" si="1"/>
        <v>Electronics and appliance retailers (4492)</v>
      </c>
      <c r="E87" s="37" t="str" cm="1">
        <f t="array" aca="1" ref="E87" ca="1">MID(C87,FIND("(",C87,LOOKUP(2,1/(MID(C87,ROW(INDIRECT("1:"&amp;LEN(C87))),1)="("),ROW(INDIRECT("1:"&amp;LEN(C87)))))+1,FIND(")",C87,LOOKUP(2,1/(MID(C87,ROW(INDIRECT("1:"&amp;LEN(C87))),1)="("),ROW(INDIRECT("1:"&amp;LEN(C87)))))-FIND("(",C87,LOOKUP(2,1/(MID(C87,ROW(INDIRECT("1:"&amp;LEN(C87))),1)="("),ROW(INDIRECT("1:"&amp;LEN(C87)))))-1)</f>
        <v>4492</v>
      </c>
      <c r="F87" s="37"/>
      <c r="G87" s="37"/>
      <c r="H87" s="37"/>
      <c r="I87" s="37"/>
      <c r="J87" s="37"/>
      <c r="K87" s="37"/>
      <c r="L87" s="30" t="s">
        <v>166</v>
      </c>
      <c r="M87" s="3" t="s">
        <v>166</v>
      </c>
      <c r="N87" s="3" t="s">
        <v>166</v>
      </c>
      <c r="O87" s="3" t="s">
        <v>166</v>
      </c>
      <c r="P87" s="3" t="s">
        <v>166</v>
      </c>
      <c r="Q87" s="3" t="s">
        <v>166</v>
      </c>
      <c r="R87" s="3" t="s">
        <v>166</v>
      </c>
      <c r="S87" s="3" t="s">
        <v>166</v>
      </c>
      <c r="T87" s="3" t="s">
        <v>166</v>
      </c>
      <c r="U87" s="3" t="s">
        <v>166</v>
      </c>
      <c r="V87" s="3" t="s">
        <v>166</v>
      </c>
      <c r="W87" s="31" t="s">
        <v>166</v>
      </c>
      <c r="X87" s="1" t="s">
        <v>81</v>
      </c>
      <c r="Y87" s="1" t="s">
        <v>81</v>
      </c>
      <c r="Z87" s="3" t="s">
        <v>166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26" t="s">
        <v>81</v>
      </c>
      <c r="AG87" s="3" t="s">
        <v>166</v>
      </c>
      <c r="AH87" s="31" t="s">
        <v>166</v>
      </c>
      <c r="AI87" s="28" t="s">
        <v>175</v>
      </c>
      <c r="AJ87" s="40">
        <v>1</v>
      </c>
    </row>
    <row r="88" spans="1:36" ht="33" x14ac:dyDescent="0.25">
      <c r="A88" t="s">
        <v>163</v>
      </c>
      <c r="B88" s="34" t="s">
        <v>188</v>
      </c>
      <c r="C88" s="34" t="s">
        <v>189</v>
      </c>
      <c r="D88" s="32" t="str">
        <f t="shared" si="1"/>
        <v>Department stores (4551)</v>
      </c>
      <c r="E88" s="37" t="str" cm="1">
        <f t="array" aca="1" ref="E88" ca="1">MID(C88,FIND("(",C88,LOOKUP(2,1/(MID(C88,ROW(INDIRECT("1:"&amp;LEN(C88))),1)="("),ROW(INDIRECT("1:"&amp;LEN(C88)))))+1,FIND(")",C88,LOOKUP(2,1/(MID(C88,ROW(INDIRECT("1:"&amp;LEN(C88))),1)="("),ROW(INDIRECT("1:"&amp;LEN(C88)))))-FIND("(",C88,LOOKUP(2,1/(MID(C88,ROW(INDIRECT("1:"&amp;LEN(C88))),1)="("),ROW(INDIRECT("1:"&amp;LEN(C88)))))-1)</f>
        <v>4551</v>
      </c>
      <c r="F88" s="37"/>
      <c r="G88" s="37"/>
      <c r="H88" s="37"/>
      <c r="I88" s="37"/>
      <c r="J88" s="37"/>
      <c r="K88" s="37"/>
      <c r="L88" s="30" t="s">
        <v>166</v>
      </c>
      <c r="M88" s="3" t="s">
        <v>166</v>
      </c>
      <c r="N88" s="3" t="s">
        <v>166</v>
      </c>
      <c r="O88" s="3" t="s">
        <v>166</v>
      </c>
      <c r="P88" s="3" t="s">
        <v>166</v>
      </c>
      <c r="Q88" s="3" t="s">
        <v>166</v>
      </c>
      <c r="R88" s="3" t="s">
        <v>166</v>
      </c>
      <c r="S88" s="3" t="s">
        <v>166</v>
      </c>
      <c r="T88" s="3" t="s">
        <v>166</v>
      </c>
      <c r="U88" s="3" t="s">
        <v>166</v>
      </c>
      <c r="V88" s="3" t="s">
        <v>166</v>
      </c>
      <c r="W88" s="31" t="s">
        <v>166</v>
      </c>
      <c r="X88" s="1" t="s">
        <v>81</v>
      </c>
      <c r="Y88" s="1" t="s">
        <v>81</v>
      </c>
      <c r="Z88" s="3" t="s">
        <v>166</v>
      </c>
      <c r="AA88" s="3" t="s">
        <v>107</v>
      </c>
      <c r="AB88" s="3" t="s">
        <v>107</v>
      </c>
      <c r="AC88" s="3" t="s">
        <v>107</v>
      </c>
      <c r="AD88" s="3" t="s">
        <v>107</v>
      </c>
      <c r="AE88" s="3" t="s">
        <v>107</v>
      </c>
      <c r="AF88" s="26" t="s">
        <v>81</v>
      </c>
      <c r="AG88" s="3" t="s">
        <v>166</v>
      </c>
      <c r="AH88" s="31" t="s">
        <v>166</v>
      </c>
      <c r="AI88" s="28" t="s">
        <v>171</v>
      </c>
      <c r="AJ88" s="40">
        <v>1</v>
      </c>
    </row>
    <row r="89" spans="1:36" ht="33" x14ac:dyDescent="0.25">
      <c r="A89" t="s">
        <v>163</v>
      </c>
      <c r="B89" s="34" t="s">
        <v>188</v>
      </c>
      <c r="C89" s="34" t="s">
        <v>190</v>
      </c>
      <c r="D89" s="32" t="str">
        <f t="shared" si="1"/>
        <v>Warehouse clubs, supercenters, and other general merchandise retailers (4552)</v>
      </c>
      <c r="E89" s="37" t="str" cm="1">
        <f t="array" aca="1" ref="E89" ca="1">MID(C89,FIND("(",C89,LOOKUP(2,1/(MID(C89,ROW(INDIRECT("1:"&amp;LEN(C89))),1)="("),ROW(INDIRECT("1:"&amp;LEN(C89)))))+1,FIND(")",C89,LOOKUP(2,1/(MID(C89,ROW(INDIRECT("1:"&amp;LEN(C89))),1)="("),ROW(INDIRECT("1:"&amp;LEN(C89)))))-FIND("(",C89,LOOKUP(2,1/(MID(C89,ROW(INDIRECT("1:"&amp;LEN(C89))),1)="("),ROW(INDIRECT("1:"&amp;LEN(C89)))))-1)</f>
        <v>4552</v>
      </c>
      <c r="F89" s="37"/>
      <c r="G89" s="37"/>
      <c r="H89" s="37"/>
      <c r="I89" s="37"/>
      <c r="J89" s="37"/>
      <c r="K89" s="37"/>
      <c r="L89" s="30" t="s">
        <v>166</v>
      </c>
      <c r="M89" s="3" t="s">
        <v>166</v>
      </c>
      <c r="N89" s="3" t="s">
        <v>166</v>
      </c>
      <c r="O89" s="3" t="s">
        <v>166</v>
      </c>
      <c r="P89" s="3" t="s">
        <v>166</v>
      </c>
      <c r="Q89" s="3" t="s">
        <v>166</v>
      </c>
      <c r="R89" s="3" t="s">
        <v>166</v>
      </c>
      <c r="S89" s="3" t="s">
        <v>166</v>
      </c>
      <c r="T89" s="3" t="s">
        <v>166</v>
      </c>
      <c r="U89" s="3" t="s">
        <v>166</v>
      </c>
      <c r="V89" s="3" t="s">
        <v>166</v>
      </c>
      <c r="W89" s="31" t="s">
        <v>166</v>
      </c>
      <c r="X89" s="1" t="s">
        <v>81</v>
      </c>
      <c r="Y89" s="1" t="s">
        <v>81</v>
      </c>
      <c r="Z89" s="3" t="s">
        <v>166</v>
      </c>
      <c r="AA89" s="3" t="s">
        <v>107</v>
      </c>
      <c r="AB89" s="3" t="s">
        <v>107</v>
      </c>
      <c r="AC89" s="3" t="s">
        <v>107</v>
      </c>
      <c r="AD89" s="3" t="s">
        <v>107</v>
      </c>
      <c r="AE89" s="3" t="s">
        <v>107</v>
      </c>
      <c r="AF89" s="26" t="s">
        <v>81</v>
      </c>
      <c r="AG89" s="3" t="s">
        <v>166</v>
      </c>
      <c r="AH89" s="31" t="s">
        <v>166</v>
      </c>
      <c r="AI89" s="28" t="s">
        <v>171</v>
      </c>
      <c r="AJ89" s="40">
        <v>1</v>
      </c>
    </row>
    <row r="90" spans="1:36" ht="30" x14ac:dyDescent="0.25">
      <c r="A90" t="s">
        <v>163</v>
      </c>
      <c r="B90" s="34" t="s">
        <v>191</v>
      </c>
      <c r="C90" s="34" t="s">
        <v>192</v>
      </c>
      <c r="D90" s="32" t="str">
        <f t="shared" si="1"/>
        <v>Health and personal care retailers (4561)</v>
      </c>
      <c r="E90" s="37" t="str" cm="1">
        <f t="array" aca="1" ref="E90" ca="1">MID(C90,FIND("(",C90,LOOKUP(2,1/(MID(C90,ROW(INDIRECT("1:"&amp;LEN(C90))),1)="("),ROW(INDIRECT("1:"&amp;LEN(C90)))))+1,FIND(")",C90,LOOKUP(2,1/(MID(C90,ROW(INDIRECT("1:"&amp;LEN(C90))),1)="("),ROW(INDIRECT("1:"&amp;LEN(C90)))))-FIND("(",C90,LOOKUP(2,1/(MID(C90,ROW(INDIRECT("1:"&amp;LEN(C90))),1)="("),ROW(INDIRECT("1:"&amp;LEN(C90)))))-1)</f>
        <v>4561</v>
      </c>
      <c r="F90" s="37"/>
      <c r="G90" s="37"/>
      <c r="H90" s="37"/>
      <c r="I90" s="37"/>
      <c r="J90" s="37"/>
      <c r="K90" s="37"/>
      <c r="L90" s="30" t="s">
        <v>166</v>
      </c>
      <c r="M90" s="3" t="s">
        <v>166</v>
      </c>
      <c r="N90" s="3" t="s">
        <v>166</v>
      </c>
      <c r="O90" s="3" t="s">
        <v>166</v>
      </c>
      <c r="P90" s="3" t="s">
        <v>166</v>
      </c>
      <c r="Q90" s="3" t="s">
        <v>166</v>
      </c>
      <c r="R90" s="3" t="s">
        <v>166</v>
      </c>
      <c r="S90" s="3" t="s">
        <v>166</v>
      </c>
      <c r="T90" s="3" t="s">
        <v>166</v>
      </c>
      <c r="U90" s="3" t="s">
        <v>166</v>
      </c>
      <c r="V90" s="3" t="s">
        <v>166</v>
      </c>
      <c r="W90" s="31" t="s">
        <v>166</v>
      </c>
      <c r="X90" s="1" t="s">
        <v>42</v>
      </c>
      <c r="Y90" s="3" t="s">
        <v>107</v>
      </c>
      <c r="Z90" s="3" t="s">
        <v>166</v>
      </c>
      <c r="AA90" s="3" t="s">
        <v>107</v>
      </c>
      <c r="AB90" s="3" t="s">
        <v>107</v>
      </c>
      <c r="AC90" s="3" t="s">
        <v>107</v>
      </c>
      <c r="AD90" s="3" t="s">
        <v>107</v>
      </c>
      <c r="AE90" s="3" t="s">
        <v>107</v>
      </c>
      <c r="AF90" s="30" t="s">
        <v>107</v>
      </c>
      <c r="AG90" s="3" t="s">
        <v>107</v>
      </c>
      <c r="AH90" s="31" t="s">
        <v>107</v>
      </c>
      <c r="AI90" s="28" t="s">
        <v>171</v>
      </c>
      <c r="AJ90" s="40">
        <v>1</v>
      </c>
    </row>
    <row r="91" spans="1:36" ht="33" x14ac:dyDescent="0.25">
      <c r="A91" t="s">
        <v>163</v>
      </c>
      <c r="B91" s="34" t="s">
        <v>193</v>
      </c>
      <c r="C91" s="34" t="s">
        <v>194</v>
      </c>
      <c r="D91" s="32" t="str">
        <f t="shared" si="1"/>
        <v>#Automotive service stations#</v>
      </c>
      <c r="E91" s="37" t="s">
        <v>473</v>
      </c>
      <c r="F91" s="37" t="s">
        <v>460</v>
      </c>
      <c r="G91" s="37"/>
      <c r="H91" s="37"/>
      <c r="I91" s="37"/>
      <c r="J91" s="37" t="s">
        <v>459</v>
      </c>
      <c r="K91" s="37" t="s">
        <v>522</v>
      </c>
      <c r="L91" s="30" t="s">
        <v>166</v>
      </c>
      <c r="M91" s="3" t="s">
        <v>166</v>
      </c>
      <c r="N91" s="3" t="s">
        <v>166</v>
      </c>
      <c r="O91" s="3" t="s">
        <v>166</v>
      </c>
      <c r="P91" s="3" t="s">
        <v>166</v>
      </c>
      <c r="Q91" s="3" t="s">
        <v>166</v>
      </c>
      <c r="R91" s="3" t="s">
        <v>166</v>
      </c>
      <c r="S91" s="3" t="s">
        <v>166</v>
      </c>
      <c r="T91" s="3" t="s">
        <v>166</v>
      </c>
      <c r="U91" s="3" t="s">
        <v>166</v>
      </c>
      <c r="V91" s="3" t="s">
        <v>166</v>
      </c>
      <c r="W91" s="31" t="s">
        <v>166</v>
      </c>
      <c r="X91" s="3" t="s">
        <v>166</v>
      </c>
      <c r="Y91" s="1" t="s">
        <v>47</v>
      </c>
      <c r="Z91" s="3" t="s">
        <v>166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37</v>
      </c>
      <c r="AF91" s="26" t="s">
        <v>37</v>
      </c>
      <c r="AG91" s="1" t="s">
        <v>37</v>
      </c>
      <c r="AH91" s="28" t="s">
        <v>37</v>
      </c>
      <c r="AI91" s="31" t="s">
        <v>195</v>
      </c>
      <c r="AJ91" s="40">
        <v>4</v>
      </c>
    </row>
    <row r="92" spans="1:36" ht="33" x14ac:dyDescent="0.25">
      <c r="A92" t="s">
        <v>163</v>
      </c>
      <c r="B92" s="34" t="s">
        <v>193</v>
      </c>
      <c r="C92" s="34" t="s">
        <v>196</v>
      </c>
      <c r="D92" s="32" t="str">
        <f t="shared" si="1"/>
        <v>Electric vehicle charging and battery swapping</v>
      </c>
      <c r="E92" s="37" t="s">
        <v>465</v>
      </c>
      <c r="F92" s="37"/>
      <c r="G92" s="37"/>
      <c r="H92" s="37" t="s">
        <v>463</v>
      </c>
      <c r="I92" s="37"/>
      <c r="J92" s="37"/>
      <c r="K92" s="37"/>
      <c r="L92" s="30" t="s">
        <v>166</v>
      </c>
      <c r="M92" s="3" t="s">
        <v>166</v>
      </c>
      <c r="N92" s="3" t="s">
        <v>166</v>
      </c>
      <c r="O92" s="3" t="s">
        <v>166</v>
      </c>
      <c r="P92" s="3" t="s">
        <v>166</v>
      </c>
      <c r="Q92" s="3" t="s">
        <v>166</v>
      </c>
      <c r="R92" s="3" t="s">
        <v>166</v>
      </c>
      <c r="S92" s="3" t="s">
        <v>166</v>
      </c>
      <c r="T92" s="3" t="s">
        <v>166</v>
      </c>
      <c r="U92" s="3" t="s">
        <v>166</v>
      </c>
      <c r="V92" s="3" t="s">
        <v>166</v>
      </c>
      <c r="W92" s="31" t="s">
        <v>166</v>
      </c>
      <c r="X92" s="1" t="s">
        <v>137</v>
      </c>
      <c r="Y92" s="1" t="s">
        <v>137</v>
      </c>
      <c r="Z92" s="1" t="s">
        <v>137</v>
      </c>
      <c r="AA92" s="1" t="s">
        <v>137</v>
      </c>
      <c r="AB92" s="1" t="s">
        <v>137</v>
      </c>
      <c r="AC92" s="1" t="s">
        <v>137</v>
      </c>
      <c r="AD92" s="1" t="s">
        <v>137</v>
      </c>
      <c r="AE92" s="1" t="s">
        <v>137</v>
      </c>
      <c r="AF92" s="26" t="s">
        <v>137</v>
      </c>
      <c r="AG92" s="1" t="s">
        <v>137</v>
      </c>
      <c r="AH92" s="28" t="s">
        <v>137</v>
      </c>
      <c r="AI92" s="31" t="s">
        <v>195</v>
      </c>
      <c r="AJ92" s="40">
        <v>0</v>
      </c>
    </row>
    <row r="93" spans="1:36" ht="33" x14ac:dyDescent="0.25">
      <c r="A93" t="s">
        <v>163</v>
      </c>
      <c r="B93" s="34" t="s">
        <v>193</v>
      </c>
      <c r="C93" s="34" t="s">
        <v>197</v>
      </c>
      <c r="D93" s="32" t="str">
        <f t="shared" si="1"/>
        <v>Boat fuel sales</v>
      </c>
      <c r="E93" s="37" t="s">
        <v>474</v>
      </c>
      <c r="F93" s="37" t="s">
        <v>450</v>
      </c>
      <c r="G93" s="37" t="s">
        <v>486</v>
      </c>
      <c r="H93" s="37"/>
      <c r="I93" s="37"/>
      <c r="J93" s="37"/>
      <c r="K93" s="37"/>
      <c r="L93" s="30" t="s">
        <v>166</v>
      </c>
      <c r="M93" s="3" t="s">
        <v>166</v>
      </c>
      <c r="N93" s="3" t="s">
        <v>166</v>
      </c>
      <c r="O93" s="3" t="s">
        <v>166</v>
      </c>
      <c r="P93" s="3" t="s">
        <v>166</v>
      </c>
      <c r="Q93" s="3" t="s">
        <v>166</v>
      </c>
      <c r="R93" s="3" t="s">
        <v>166</v>
      </c>
      <c r="S93" s="3" t="s">
        <v>166</v>
      </c>
      <c r="T93" s="3" t="s">
        <v>166</v>
      </c>
      <c r="U93" s="3" t="s">
        <v>166</v>
      </c>
      <c r="V93" s="3" t="s">
        <v>166</v>
      </c>
      <c r="W93" s="31" t="s">
        <v>166</v>
      </c>
      <c r="X93" s="3" t="s">
        <v>166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137</v>
      </c>
      <c r="AF93" s="26" t="s">
        <v>137</v>
      </c>
      <c r="AG93" s="1" t="s">
        <v>137</v>
      </c>
      <c r="AH93" s="28" t="s">
        <v>137</v>
      </c>
      <c r="AI93" s="28" t="s">
        <v>108</v>
      </c>
      <c r="AJ93" s="40">
        <v>4</v>
      </c>
    </row>
    <row r="94" spans="1:36" ht="51" x14ac:dyDescent="0.25">
      <c r="A94" t="s">
        <v>163</v>
      </c>
      <c r="B94" s="34" t="s">
        <v>193</v>
      </c>
      <c r="C94" s="34" t="s">
        <v>198</v>
      </c>
      <c r="D94" s="32" t="str">
        <f t="shared" si="1"/>
        <v>Fuel dealers (4572)</v>
      </c>
      <c r="E94" s="37" t="str" cm="1">
        <f t="array" aca="1" ref="E94" ca="1">MID(C94,FIND("(",C94,LOOKUP(2,1/(MID(C94,ROW(INDIRECT("1:"&amp;LEN(C94))),1)="("),ROW(INDIRECT("1:"&amp;LEN(C94)))))+1,FIND(")",C94,LOOKUP(2,1/(MID(C94,ROW(INDIRECT("1:"&amp;LEN(C94))),1)="("),ROW(INDIRECT("1:"&amp;LEN(C94)))))-FIND("(",C94,LOOKUP(2,1/(MID(C94,ROW(INDIRECT("1:"&amp;LEN(C94))),1)="("),ROW(INDIRECT("1:"&amp;LEN(C94)))))-1)</f>
        <v>4572</v>
      </c>
      <c r="F94" s="37"/>
      <c r="G94" s="37"/>
      <c r="H94" s="37"/>
      <c r="I94" s="37"/>
      <c r="J94" s="37"/>
      <c r="K94" s="37"/>
      <c r="L94" s="30" t="s">
        <v>166</v>
      </c>
      <c r="M94" s="3" t="s">
        <v>166</v>
      </c>
      <c r="N94" s="3" t="s">
        <v>166</v>
      </c>
      <c r="O94" s="3" t="s">
        <v>166</v>
      </c>
      <c r="P94" s="3" t="s">
        <v>166</v>
      </c>
      <c r="Q94" s="3" t="s">
        <v>166</v>
      </c>
      <c r="R94" s="3" t="s">
        <v>166</v>
      </c>
      <c r="S94" s="3" t="s">
        <v>166</v>
      </c>
      <c r="T94" s="3" t="s">
        <v>166</v>
      </c>
      <c r="U94" s="3" t="s">
        <v>166</v>
      </c>
      <c r="V94" s="3" t="s">
        <v>166</v>
      </c>
      <c r="W94" s="31" t="s">
        <v>166</v>
      </c>
      <c r="X94" s="3" t="s">
        <v>166</v>
      </c>
      <c r="Y94" s="3" t="s">
        <v>166</v>
      </c>
      <c r="Z94" s="3" t="s">
        <v>166</v>
      </c>
      <c r="AA94" s="3" t="s">
        <v>166</v>
      </c>
      <c r="AB94" s="3" t="s">
        <v>166</v>
      </c>
      <c r="AC94" s="3" t="s">
        <v>166</v>
      </c>
      <c r="AD94" s="3" t="s">
        <v>166</v>
      </c>
      <c r="AE94" s="1" t="s">
        <v>36</v>
      </c>
      <c r="AF94" s="26" t="s">
        <v>36</v>
      </c>
      <c r="AG94" s="1" t="s">
        <v>36</v>
      </c>
      <c r="AH94" s="28" t="s">
        <v>36</v>
      </c>
      <c r="AI94" s="28" t="s">
        <v>175</v>
      </c>
      <c r="AJ94" s="40">
        <v>1</v>
      </c>
    </row>
    <row r="95" spans="1:36" ht="33" x14ac:dyDescent="0.25">
      <c r="A95" t="s">
        <v>163</v>
      </c>
      <c r="B95" s="34" t="s">
        <v>199</v>
      </c>
      <c r="C95" s="34" t="s">
        <v>200</v>
      </c>
      <c r="D95" s="32" t="str">
        <f t="shared" si="1"/>
        <v>Clothing and clothing accessories retailers (4581)</v>
      </c>
      <c r="E95" s="37" t="str" cm="1">
        <f t="array" aca="1" ref="E95" ca="1">MID(C95,FIND("(",C95,LOOKUP(2,1/(MID(C95,ROW(INDIRECT("1:"&amp;LEN(C95))),1)="("),ROW(INDIRECT("1:"&amp;LEN(C95)))))+1,FIND(")",C95,LOOKUP(2,1/(MID(C95,ROW(INDIRECT("1:"&amp;LEN(C95))),1)="("),ROW(INDIRECT("1:"&amp;LEN(C95)))))-FIND("(",C95,LOOKUP(2,1/(MID(C95,ROW(INDIRECT("1:"&amp;LEN(C95))),1)="("),ROW(INDIRECT("1:"&amp;LEN(C95)))))-1)</f>
        <v>4581</v>
      </c>
      <c r="F95" s="37"/>
      <c r="G95" s="37"/>
      <c r="H95" s="37"/>
      <c r="I95" s="37"/>
      <c r="J95" s="37"/>
      <c r="K95" s="37"/>
      <c r="L95" s="30" t="s">
        <v>166</v>
      </c>
      <c r="M95" s="3" t="s">
        <v>166</v>
      </c>
      <c r="N95" s="3" t="s">
        <v>166</v>
      </c>
      <c r="O95" s="3" t="s">
        <v>166</v>
      </c>
      <c r="P95" s="3" t="s">
        <v>166</v>
      </c>
      <c r="Q95" s="3" t="s">
        <v>166</v>
      </c>
      <c r="R95" s="3" t="s">
        <v>166</v>
      </c>
      <c r="S95" s="3" t="s">
        <v>166</v>
      </c>
      <c r="T95" s="3" t="s">
        <v>166</v>
      </c>
      <c r="U95" s="3" t="s">
        <v>166</v>
      </c>
      <c r="V95" s="3" t="s">
        <v>166</v>
      </c>
      <c r="W95" s="31" t="s">
        <v>166</v>
      </c>
      <c r="X95" s="1" t="s">
        <v>81</v>
      </c>
      <c r="Y95" s="1" t="s">
        <v>81</v>
      </c>
      <c r="Z95" s="3" t="s">
        <v>166</v>
      </c>
      <c r="AA95" s="3" t="s">
        <v>107</v>
      </c>
      <c r="AB95" s="3" t="s">
        <v>107</v>
      </c>
      <c r="AC95" s="3" t="s">
        <v>107</v>
      </c>
      <c r="AD95" s="3" t="s">
        <v>107</v>
      </c>
      <c r="AE95" s="3" t="s">
        <v>107</v>
      </c>
      <c r="AF95" s="26" t="s">
        <v>81</v>
      </c>
      <c r="AG95" s="3" t="s">
        <v>166</v>
      </c>
      <c r="AH95" s="31" t="s">
        <v>166</v>
      </c>
      <c r="AI95" s="28" t="s">
        <v>171</v>
      </c>
      <c r="AJ95" s="40">
        <v>1</v>
      </c>
    </row>
    <row r="96" spans="1:36" ht="30" x14ac:dyDescent="0.25">
      <c r="A96" t="s">
        <v>163</v>
      </c>
      <c r="B96" s="34" t="s">
        <v>199</v>
      </c>
      <c r="C96" s="34" t="s">
        <v>201</v>
      </c>
      <c r="D96" s="32" t="str">
        <f t="shared" si="1"/>
        <v>Shoe retailers (4582)</v>
      </c>
      <c r="E96" s="37" t="str" cm="1">
        <f t="array" aca="1" ref="E96" ca="1">MID(C96,FIND("(",C96,LOOKUP(2,1/(MID(C96,ROW(INDIRECT("1:"&amp;LEN(C96))),1)="("),ROW(INDIRECT("1:"&amp;LEN(C96)))))+1,FIND(")",C96,LOOKUP(2,1/(MID(C96,ROW(INDIRECT("1:"&amp;LEN(C96))),1)="("),ROW(INDIRECT("1:"&amp;LEN(C96)))))-FIND("(",C96,LOOKUP(2,1/(MID(C96,ROW(INDIRECT("1:"&amp;LEN(C96))),1)="("),ROW(INDIRECT("1:"&amp;LEN(C96)))))-1)</f>
        <v>4582</v>
      </c>
      <c r="F96" s="37"/>
      <c r="G96" s="37"/>
      <c r="H96" s="37"/>
      <c r="I96" s="37"/>
      <c r="J96" s="37"/>
      <c r="K96" s="37"/>
      <c r="L96" s="30" t="s">
        <v>166</v>
      </c>
      <c r="M96" s="3" t="s">
        <v>166</v>
      </c>
      <c r="N96" s="3" t="s">
        <v>166</v>
      </c>
      <c r="O96" s="3" t="s">
        <v>166</v>
      </c>
      <c r="P96" s="3" t="s">
        <v>166</v>
      </c>
      <c r="Q96" s="3" t="s">
        <v>166</v>
      </c>
      <c r="R96" s="3" t="s">
        <v>166</v>
      </c>
      <c r="S96" s="3" t="s">
        <v>166</v>
      </c>
      <c r="T96" s="3" t="s">
        <v>166</v>
      </c>
      <c r="U96" s="3" t="s">
        <v>166</v>
      </c>
      <c r="V96" s="3" t="s">
        <v>166</v>
      </c>
      <c r="W96" s="31" t="s">
        <v>166</v>
      </c>
      <c r="X96" s="3" t="s">
        <v>107</v>
      </c>
      <c r="Y96" s="3" t="s">
        <v>107</v>
      </c>
      <c r="Z96" s="3" t="s">
        <v>166</v>
      </c>
      <c r="AA96" s="3" t="s">
        <v>107</v>
      </c>
      <c r="AB96" s="3" t="s">
        <v>107</v>
      </c>
      <c r="AC96" s="3" t="s">
        <v>107</v>
      </c>
      <c r="AD96" s="3" t="s">
        <v>107</v>
      </c>
      <c r="AE96" s="3" t="s">
        <v>107</v>
      </c>
      <c r="AF96" s="30" t="s">
        <v>107</v>
      </c>
      <c r="AG96" s="3" t="s">
        <v>166</v>
      </c>
      <c r="AH96" s="31" t="s">
        <v>166</v>
      </c>
      <c r="AI96" s="28" t="s">
        <v>171</v>
      </c>
      <c r="AJ96" s="40">
        <v>1</v>
      </c>
    </row>
    <row r="97" spans="1:36" ht="30" x14ac:dyDescent="0.25">
      <c r="A97" t="s">
        <v>163</v>
      </c>
      <c r="B97" s="34" t="s">
        <v>199</v>
      </c>
      <c r="C97" s="34" t="s">
        <v>202</v>
      </c>
      <c r="D97" s="32" t="str">
        <f t="shared" si="1"/>
        <v>Jewelry, luggage, and leather goods retailers (4583)</v>
      </c>
      <c r="E97" s="37" t="str" cm="1">
        <f t="array" aca="1" ref="E97" ca="1">MID(C97,FIND("(",C97,LOOKUP(2,1/(MID(C97,ROW(INDIRECT("1:"&amp;LEN(C97))),1)="("),ROW(INDIRECT("1:"&amp;LEN(C97)))))+1,FIND(")",C97,LOOKUP(2,1/(MID(C97,ROW(INDIRECT("1:"&amp;LEN(C97))),1)="("),ROW(INDIRECT("1:"&amp;LEN(C97)))))-FIND("(",C97,LOOKUP(2,1/(MID(C97,ROW(INDIRECT("1:"&amp;LEN(C97))),1)="("),ROW(INDIRECT("1:"&amp;LEN(C97)))))-1)</f>
        <v>4583</v>
      </c>
      <c r="F97" s="37"/>
      <c r="G97" s="37"/>
      <c r="H97" s="37"/>
      <c r="I97" s="37"/>
      <c r="J97" s="37"/>
      <c r="K97" s="37"/>
      <c r="L97" s="30" t="s">
        <v>166</v>
      </c>
      <c r="M97" s="3" t="s">
        <v>166</v>
      </c>
      <c r="N97" s="3" t="s">
        <v>166</v>
      </c>
      <c r="O97" s="3" t="s">
        <v>166</v>
      </c>
      <c r="P97" s="3" t="s">
        <v>166</v>
      </c>
      <c r="Q97" s="3" t="s">
        <v>166</v>
      </c>
      <c r="R97" s="3" t="s">
        <v>166</v>
      </c>
      <c r="S97" s="3" t="s">
        <v>166</v>
      </c>
      <c r="T97" s="3" t="s">
        <v>166</v>
      </c>
      <c r="U97" s="3" t="s">
        <v>166</v>
      </c>
      <c r="V97" s="3" t="s">
        <v>166</v>
      </c>
      <c r="W97" s="31" t="s">
        <v>166</v>
      </c>
      <c r="X97" s="3" t="s">
        <v>107</v>
      </c>
      <c r="Y97" s="3" t="s">
        <v>107</v>
      </c>
      <c r="Z97" s="3" t="s">
        <v>166</v>
      </c>
      <c r="AA97" s="3" t="s">
        <v>107</v>
      </c>
      <c r="AB97" s="3" t="s">
        <v>107</v>
      </c>
      <c r="AC97" s="3" t="s">
        <v>107</v>
      </c>
      <c r="AD97" s="3" t="s">
        <v>107</v>
      </c>
      <c r="AE97" s="3" t="s">
        <v>107</v>
      </c>
      <c r="AF97" s="30" t="s">
        <v>107</v>
      </c>
      <c r="AG97" s="3" t="s">
        <v>166</v>
      </c>
      <c r="AH97" s="31" t="s">
        <v>166</v>
      </c>
      <c r="AI97" s="28" t="s">
        <v>171</v>
      </c>
      <c r="AJ97" s="40">
        <v>1</v>
      </c>
    </row>
    <row r="98" spans="1:36" ht="45" x14ac:dyDescent="0.25">
      <c r="A98" t="s">
        <v>163</v>
      </c>
      <c r="B98" s="34" t="s">
        <v>203</v>
      </c>
      <c r="C98" s="34" t="s">
        <v>204</v>
      </c>
      <c r="D98" s="32" t="str">
        <f t="shared" si="1"/>
        <v>Sporting goods retailers (45911)</v>
      </c>
      <c r="E98" s="37" t="str" cm="1">
        <f t="array" aca="1" ref="E98" ca="1">MID(C98,FIND("(",C98,LOOKUP(2,1/(MID(C98,ROW(INDIRECT("1:"&amp;LEN(C98))),1)="("),ROW(INDIRECT("1:"&amp;LEN(C98)))))+1,FIND(")",C98,LOOKUP(2,1/(MID(C98,ROW(INDIRECT("1:"&amp;LEN(C98))),1)="("),ROW(INDIRECT("1:"&amp;LEN(C98)))))-FIND("(",C98,LOOKUP(2,1/(MID(C98,ROW(INDIRECT("1:"&amp;LEN(C98))),1)="("),ROW(INDIRECT("1:"&amp;LEN(C98)))))-1)</f>
        <v>45911</v>
      </c>
      <c r="F98" s="37"/>
      <c r="G98" s="37"/>
      <c r="H98" s="37"/>
      <c r="I98" s="37"/>
      <c r="J98" s="37"/>
      <c r="K98" s="37"/>
      <c r="L98" s="30" t="s">
        <v>166</v>
      </c>
      <c r="M98" s="3" t="s">
        <v>166</v>
      </c>
      <c r="N98" s="3" t="s">
        <v>166</v>
      </c>
      <c r="O98" s="3" t="s">
        <v>166</v>
      </c>
      <c r="P98" s="3" t="s">
        <v>166</v>
      </c>
      <c r="Q98" s="3" t="s">
        <v>166</v>
      </c>
      <c r="R98" s="3" t="s">
        <v>166</v>
      </c>
      <c r="S98" s="3" t="s">
        <v>166</v>
      </c>
      <c r="T98" s="3" t="s">
        <v>166</v>
      </c>
      <c r="U98" s="3" t="s">
        <v>166</v>
      </c>
      <c r="V98" s="3" t="s">
        <v>166</v>
      </c>
      <c r="W98" s="31" t="s">
        <v>166</v>
      </c>
      <c r="X98" s="3" t="s">
        <v>107</v>
      </c>
      <c r="Y98" s="3" t="s">
        <v>107</v>
      </c>
      <c r="Z98" s="3" t="s">
        <v>107</v>
      </c>
      <c r="AA98" s="3" t="s">
        <v>107</v>
      </c>
      <c r="AB98" s="3" t="s">
        <v>107</v>
      </c>
      <c r="AC98" s="3" t="s">
        <v>107</v>
      </c>
      <c r="AD98" s="3" t="s">
        <v>107</v>
      </c>
      <c r="AE98" s="3" t="s">
        <v>107</v>
      </c>
      <c r="AF98" s="30" t="s">
        <v>107</v>
      </c>
      <c r="AG98" s="3" t="s">
        <v>107</v>
      </c>
      <c r="AH98" s="31" t="s">
        <v>107</v>
      </c>
      <c r="AI98" s="28" t="s">
        <v>171</v>
      </c>
      <c r="AJ98" s="40">
        <v>1</v>
      </c>
    </row>
    <row r="99" spans="1:36" ht="45" x14ac:dyDescent="0.25">
      <c r="A99" t="s">
        <v>163</v>
      </c>
      <c r="B99" s="34" t="s">
        <v>203</v>
      </c>
      <c r="C99" s="34" t="s">
        <v>205</v>
      </c>
      <c r="D99" s="32" t="str">
        <f t="shared" si="1"/>
        <v>All other hobby and musical instrument retailers (in 4591)</v>
      </c>
      <c r="E99" s="37" t="str" cm="1">
        <f t="array" aca="1" ref="E99" ca="1">MID(C99,FIND("(",C99,LOOKUP(2,1/(MID(C99,ROW(INDIRECT("1:"&amp;LEN(C99))),1)="("),ROW(INDIRECT("1:"&amp;LEN(C99)))))+1,FIND(")",C99,LOOKUP(2,1/(MID(C99,ROW(INDIRECT("1:"&amp;LEN(C99))),1)="("),ROW(INDIRECT("1:"&amp;LEN(C99)))))-FIND("(",C99,LOOKUP(2,1/(MID(C99,ROW(INDIRECT("1:"&amp;LEN(C99))),1)="("),ROW(INDIRECT("1:"&amp;LEN(C99)))))-1)</f>
        <v>in 4591</v>
      </c>
      <c r="F99" s="37" t="s">
        <v>206</v>
      </c>
      <c r="G99" s="37"/>
      <c r="H99" s="37"/>
      <c r="I99" s="37">
        <v>45911</v>
      </c>
      <c r="J99" s="37"/>
      <c r="K99" s="37"/>
      <c r="L99" s="30" t="s">
        <v>166</v>
      </c>
      <c r="M99" s="3" t="s">
        <v>166</v>
      </c>
      <c r="N99" s="3" t="s">
        <v>166</v>
      </c>
      <c r="O99" s="3" t="s">
        <v>166</v>
      </c>
      <c r="P99" s="3" t="s">
        <v>166</v>
      </c>
      <c r="Q99" s="3" t="s">
        <v>166</v>
      </c>
      <c r="R99" s="3" t="s">
        <v>166</v>
      </c>
      <c r="S99" s="3" t="s">
        <v>166</v>
      </c>
      <c r="T99" s="3" t="s">
        <v>166</v>
      </c>
      <c r="U99" s="3" t="s">
        <v>166</v>
      </c>
      <c r="V99" s="3" t="s">
        <v>166</v>
      </c>
      <c r="W99" s="31" t="s">
        <v>166</v>
      </c>
      <c r="X99" s="3" t="s">
        <v>107</v>
      </c>
      <c r="Y99" s="3" t="s">
        <v>107</v>
      </c>
      <c r="Z99" s="3" t="s">
        <v>166</v>
      </c>
      <c r="AA99" s="3" t="s">
        <v>107</v>
      </c>
      <c r="AB99" s="3" t="s">
        <v>107</v>
      </c>
      <c r="AC99" s="3" t="s">
        <v>107</v>
      </c>
      <c r="AD99" s="3" t="s">
        <v>107</v>
      </c>
      <c r="AE99" s="3" t="s">
        <v>107</v>
      </c>
      <c r="AF99" s="26" t="s">
        <v>81</v>
      </c>
      <c r="AG99" s="3" t="s">
        <v>166</v>
      </c>
      <c r="AH99" s="31" t="s">
        <v>166</v>
      </c>
      <c r="AI99" s="28" t="s">
        <v>171</v>
      </c>
      <c r="AJ99" s="40">
        <v>3</v>
      </c>
    </row>
    <row r="100" spans="1:36" ht="45" x14ac:dyDescent="0.25">
      <c r="A100" t="s">
        <v>163</v>
      </c>
      <c r="B100" s="34" t="s">
        <v>203</v>
      </c>
      <c r="C100" s="5" t="s">
        <v>207</v>
      </c>
      <c r="D100" s="32" t="str">
        <f t="shared" si="1"/>
        <v>Book retailers</v>
      </c>
      <c r="E100" s="37" t="s">
        <v>469</v>
      </c>
      <c r="F100" s="37" t="s">
        <v>499</v>
      </c>
      <c r="G100" s="37" t="s">
        <v>498</v>
      </c>
      <c r="H100" s="37"/>
      <c r="I100" s="43"/>
      <c r="J100" s="37"/>
      <c r="K100" s="37"/>
      <c r="L100" s="30" t="s">
        <v>166</v>
      </c>
      <c r="M100" s="3" t="s">
        <v>166</v>
      </c>
      <c r="N100" s="3" t="s">
        <v>166</v>
      </c>
      <c r="O100" s="3" t="s">
        <v>166</v>
      </c>
      <c r="P100" s="3" t="s">
        <v>166</v>
      </c>
      <c r="Q100" s="3" t="s">
        <v>166</v>
      </c>
      <c r="R100" s="3" t="s">
        <v>166</v>
      </c>
      <c r="S100" s="3" t="s">
        <v>166</v>
      </c>
      <c r="T100" s="3" t="s">
        <v>166</v>
      </c>
      <c r="U100" s="3" t="s">
        <v>166</v>
      </c>
      <c r="V100" s="3" t="s">
        <v>166</v>
      </c>
      <c r="W100" s="31" t="s">
        <v>166</v>
      </c>
      <c r="X100" s="3" t="s">
        <v>107</v>
      </c>
      <c r="Y100" s="3" t="s">
        <v>107</v>
      </c>
      <c r="Z100" s="3" t="s">
        <v>166</v>
      </c>
      <c r="AA100" s="3" t="s">
        <v>107</v>
      </c>
      <c r="AB100" s="3" t="s">
        <v>107</v>
      </c>
      <c r="AC100" s="3" t="s">
        <v>107</v>
      </c>
      <c r="AD100" s="3" t="s">
        <v>107</v>
      </c>
      <c r="AE100" s="3" t="s">
        <v>107</v>
      </c>
      <c r="AF100" s="30" t="s">
        <v>107</v>
      </c>
      <c r="AG100" s="3" t="s">
        <v>166</v>
      </c>
      <c r="AH100" s="31" t="s">
        <v>166</v>
      </c>
      <c r="AI100" s="21" t="s">
        <v>171</v>
      </c>
      <c r="AJ100" s="40">
        <v>4</v>
      </c>
    </row>
    <row r="101" spans="1:36" ht="60" x14ac:dyDescent="0.25">
      <c r="A101" t="s">
        <v>163</v>
      </c>
      <c r="B101" s="34" t="s">
        <v>203</v>
      </c>
      <c r="C101" s="5" t="s">
        <v>208</v>
      </c>
      <c r="D101" s="32" t="str">
        <f t="shared" si="1"/>
        <v>News dealers</v>
      </c>
      <c r="E101" s="37" t="s">
        <v>469</v>
      </c>
      <c r="F101" s="37" t="s">
        <v>501</v>
      </c>
      <c r="G101" s="37" t="s">
        <v>500</v>
      </c>
      <c r="H101" s="37"/>
      <c r="I101" s="43"/>
      <c r="J101" s="37"/>
      <c r="K101" s="37"/>
      <c r="L101" s="30" t="s">
        <v>166</v>
      </c>
      <c r="M101" s="3" t="s">
        <v>166</v>
      </c>
      <c r="N101" s="3" t="s">
        <v>166</v>
      </c>
      <c r="O101" s="3" t="s">
        <v>166</v>
      </c>
      <c r="P101" s="3" t="s">
        <v>166</v>
      </c>
      <c r="Q101" s="3" t="s">
        <v>166</v>
      </c>
      <c r="R101" s="3" t="s">
        <v>166</v>
      </c>
      <c r="S101" s="3" t="s">
        <v>166</v>
      </c>
      <c r="T101" s="3" t="s">
        <v>166</v>
      </c>
      <c r="U101" s="3" t="s">
        <v>166</v>
      </c>
      <c r="V101" s="3" t="s">
        <v>166</v>
      </c>
      <c r="W101" s="31" t="s">
        <v>166</v>
      </c>
      <c r="X101" s="1" t="s">
        <v>137</v>
      </c>
      <c r="Y101" s="1" t="s">
        <v>137</v>
      </c>
      <c r="Z101" s="3" t="s">
        <v>166</v>
      </c>
      <c r="AA101" s="1" t="s">
        <v>137</v>
      </c>
      <c r="AB101" s="1" t="s">
        <v>137</v>
      </c>
      <c r="AC101" s="1" t="s">
        <v>137</v>
      </c>
      <c r="AD101" s="1" t="s">
        <v>137</v>
      </c>
      <c r="AE101" s="1" t="s">
        <v>137</v>
      </c>
      <c r="AF101" s="26" t="s">
        <v>137</v>
      </c>
      <c r="AG101" s="1" t="s">
        <v>137</v>
      </c>
      <c r="AH101" s="28" t="s">
        <v>137</v>
      </c>
      <c r="AI101" s="21" t="s">
        <v>171</v>
      </c>
      <c r="AJ101" s="40">
        <v>4</v>
      </c>
    </row>
    <row r="102" spans="1:36" ht="45" x14ac:dyDescent="0.25">
      <c r="A102" t="s">
        <v>163</v>
      </c>
      <c r="B102" s="34" t="s">
        <v>203</v>
      </c>
      <c r="C102" s="5" t="s">
        <v>209</v>
      </c>
      <c r="D102" s="32" t="str">
        <f t="shared" si="1"/>
        <v>Florists (4593)</v>
      </c>
      <c r="E102" s="37" t="str" cm="1">
        <f t="array" aca="1" ref="E102" ca="1">MID(C102,FIND("(",C102,LOOKUP(2,1/(MID(C102,ROW(INDIRECT("1:"&amp;LEN(C102))),1)="("),ROW(INDIRECT("1:"&amp;LEN(C102)))))+1,FIND(")",C102,LOOKUP(2,1/(MID(C102,ROW(INDIRECT("1:"&amp;LEN(C102))),1)="("),ROW(INDIRECT("1:"&amp;LEN(C102)))))-FIND("(",C102,LOOKUP(2,1/(MID(C102,ROW(INDIRECT("1:"&amp;LEN(C102))),1)="("),ROW(INDIRECT("1:"&amp;LEN(C102)))))-1)</f>
        <v>4593</v>
      </c>
      <c r="F102" s="37"/>
      <c r="G102" s="37"/>
      <c r="H102" s="37"/>
      <c r="I102" s="37"/>
      <c r="J102" s="37"/>
      <c r="K102" s="37"/>
      <c r="L102" s="30" t="s">
        <v>166</v>
      </c>
      <c r="M102" s="3" t="s">
        <v>166</v>
      </c>
      <c r="N102" s="3" t="s">
        <v>166</v>
      </c>
      <c r="O102" s="3" t="s">
        <v>166</v>
      </c>
      <c r="P102" s="3" t="s">
        <v>166</v>
      </c>
      <c r="Q102" s="3" t="s">
        <v>166</v>
      </c>
      <c r="R102" s="3" t="s">
        <v>166</v>
      </c>
      <c r="S102" s="3" t="s">
        <v>166</v>
      </c>
      <c r="T102" s="3" t="s">
        <v>166</v>
      </c>
      <c r="U102" s="3" t="s">
        <v>166</v>
      </c>
      <c r="V102" s="3" t="s">
        <v>166</v>
      </c>
      <c r="W102" s="31" t="s">
        <v>166</v>
      </c>
      <c r="X102" s="1" t="s">
        <v>137</v>
      </c>
      <c r="Y102" s="1" t="s">
        <v>137</v>
      </c>
      <c r="Z102" s="3" t="s">
        <v>166</v>
      </c>
      <c r="AA102" s="1" t="s">
        <v>137</v>
      </c>
      <c r="AB102" s="1" t="s">
        <v>137</v>
      </c>
      <c r="AC102" s="1" t="s">
        <v>137</v>
      </c>
      <c r="AD102" s="1" t="s">
        <v>137</v>
      </c>
      <c r="AE102" s="1" t="s">
        <v>137</v>
      </c>
      <c r="AF102" s="26" t="s">
        <v>137</v>
      </c>
      <c r="AG102" s="3" t="s">
        <v>166</v>
      </c>
      <c r="AH102" s="31" t="s">
        <v>166</v>
      </c>
      <c r="AI102" s="21" t="s">
        <v>171</v>
      </c>
      <c r="AJ102" s="40">
        <v>1</v>
      </c>
    </row>
    <row r="103" spans="1:36" ht="45" x14ac:dyDescent="0.25">
      <c r="A103" t="s">
        <v>163</v>
      </c>
      <c r="B103" s="34" t="s">
        <v>203</v>
      </c>
      <c r="C103" s="5" t="s">
        <v>210</v>
      </c>
      <c r="D103" s="32" t="str">
        <f t="shared" si="1"/>
        <v>Office supplies, stationary, and gift retailers (4594)</v>
      </c>
      <c r="E103" s="37" t="str" cm="1">
        <f t="array" aca="1" ref="E103" ca="1">MID(C103,FIND("(",C103,LOOKUP(2,1/(MID(C103,ROW(INDIRECT("1:"&amp;LEN(C103))),1)="("),ROW(INDIRECT("1:"&amp;LEN(C103)))))+1,FIND(")",C103,LOOKUP(2,1/(MID(C103,ROW(INDIRECT("1:"&amp;LEN(C103))),1)="("),ROW(INDIRECT("1:"&amp;LEN(C103)))))-FIND("(",C103,LOOKUP(2,1/(MID(C103,ROW(INDIRECT("1:"&amp;LEN(C103))),1)="("),ROW(INDIRECT("1:"&amp;LEN(C103)))))-1)</f>
        <v>4594</v>
      </c>
      <c r="F103" s="37"/>
      <c r="G103" s="37"/>
      <c r="H103" s="37"/>
      <c r="I103" s="37"/>
      <c r="J103" s="37"/>
      <c r="K103" s="37"/>
      <c r="L103" s="30" t="s">
        <v>166</v>
      </c>
      <c r="M103" s="3" t="s">
        <v>166</v>
      </c>
      <c r="N103" s="3" t="s">
        <v>166</v>
      </c>
      <c r="O103" s="3" t="s">
        <v>166</v>
      </c>
      <c r="P103" s="3" t="s">
        <v>166</v>
      </c>
      <c r="Q103" s="3" t="s">
        <v>166</v>
      </c>
      <c r="R103" s="3" t="s">
        <v>166</v>
      </c>
      <c r="S103" s="3" t="s">
        <v>166</v>
      </c>
      <c r="T103" s="3" t="s">
        <v>166</v>
      </c>
      <c r="U103" s="3" t="s">
        <v>166</v>
      </c>
      <c r="V103" s="3" t="s">
        <v>166</v>
      </c>
      <c r="W103" s="31" t="s">
        <v>166</v>
      </c>
      <c r="X103" s="3" t="s">
        <v>107</v>
      </c>
      <c r="Y103" s="3" t="s">
        <v>107</v>
      </c>
      <c r="Z103" s="3" t="s">
        <v>166</v>
      </c>
      <c r="AA103" s="3" t="s">
        <v>107</v>
      </c>
      <c r="AB103" s="3" t="s">
        <v>107</v>
      </c>
      <c r="AC103" s="3" t="s">
        <v>107</v>
      </c>
      <c r="AD103" s="3" t="s">
        <v>107</v>
      </c>
      <c r="AE103" s="3" t="s">
        <v>107</v>
      </c>
      <c r="AF103" s="30" t="s">
        <v>107</v>
      </c>
      <c r="AG103" s="3" t="s">
        <v>166</v>
      </c>
      <c r="AH103" s="31" t="s">
        <v>166</v>
      </c>
      <c r="AI103" s="21" t="s">
        <v>171</v>
      </c>
      <c r="AJ103" s="40">
        <v>1</v>
      </c>
    </row>
    <row r="104" spans="1:36" ht="45" x14ac:dyDescent="0.25">
      <c r="A104" t="s">
        <v>163</v>
      </c>
      <c r="B104" s="34" t="s">
        <v>203</v>
      </c>
      <c r="C104" s="5" t="s">
        <v>211</v>
      </c>
      <c r="D104" s="32" t="str">
        <f t="shared" si="1"/>
        <v>Used merchandise retailers (4595)</v>
      </c>
      <c r="E104" s="37" t="str" cm="1">
        <f t="array" aca="1" ref="E104" ca="1">MID(C104,FIND("(",C104,LOOKUP(2,1/(MID(C104,ROW(INDIRECT("1:"&amp;LEN(C104))),1)="("),ROW(INDIRECT("1:"&amp;LEN(C104)))))+1,FIND(")",C104,LOOKUP(2,1/(MID(C104,ROW(INDIRECT("1:"&amp;LEN(C104))),1)="("),ROW(INDIRECT("1:"&amp;LEN(C104)))))-FIND("(",C104,LOOKUP(2,1/(MID(C104,ROW(INDIRECT("1:"&amp;LEN(C104))),1)="("),ROW(INDIRECT("1:"&amp;LEN(C104)))))-1)</f>
        <v>4595</v>
      </c>
      <c r="F104" s="37"/>
      <c r="G104" s="37"/>
      <c r="H104" s="37"/>
      <c r="I104" s="37"/>
      <c r="J104" s="37"/>
      <c r="K104" s="37"/>
      <c r="L104" s="30" t="s">
        <v>166</v>
      </c>
      <c r="M104" s="3" t="s">
        <v>166</v>
      </c>
      <c r="N104" s="3" t="s">
        <v>166</v>
      </c>
      <c r="O104" s="3" t="s">
        <v>166</v>
      </c>
      <c r="P104" s="3" t="s">
        <v>166</v>
      </c>
      <c r="Q104" s="3" t="s">
        <v>166</v>
      </c>
      <c r="R104" s="3" t="s">
        <v>166</v>
      </c>
      <c r="S104" s="3" t="s">
        <v>166</v>
      </c>
      <c r="T104" s="3" t="s">
        <v>166</v>
      </c>
      <c r="U104" s="3" t="s">
        <v>166</v>
      </c>
      <c r="V104" s="3" t="s">
        <v>166</v>
      </c>
      <c r="W104" s="31" t="s">
        <v>166</v>
      </c>
      <c r="X104" s="3" t="s">
        <v>107</v>
      </c>
      <c r="Y104" s="3" t="s">
        <v>107</v>
      </c>
      <c r="Z104" s="3" t="s">
        <v>166</v>
      </c>
      <c r="AA104" s="3" t="s">
        <v>107</v>
      </c>
      <c r="AB104" s="3" t="s">
        <v>107</v>
      </c>
      <c r="AC104" s="3" t="s">
        <v>107</v>
      </c>
      <c r="AD104" s="3" t="s">
        <v>107</v>
      </c>
      <c r="AE104" s="3" t="s">
        <v>107</v>
      </c>
      <c r="AF104" s="30" t="s">
        <v>107</v>
      </c>
      <c r="AG104" s="3" t="s">
        <v>107</v>
      </c>
      <c r="AH104" s="31" t="s">
        <v>107</v>
      </c>
      <c r="AI104" s="21" t="s">
        <v>171</v>
      </c>
      <c r="AJ104" s="40">
        <v>1</v>
      </c>
    </row>
    <row r="105" spans="1:36" ht="45" x14ac:dyDescent="0.25">
      <c r="A105" t="s">
        <v>163</v>
      </c>
      <c r="B105" s="34" t="s">
        <v>203</v>
      </c>
      <c r="C105" s="5" t="s">
        <v>212</v>
      </c>
      <c r="D105" s="32" t="str">
        <f t="shared" si="1"/>
        <v>Miscellaneous retailers (4599)</v>
      </c>
      <c r="E105" s="37" t="str" cm="1">
        <f t="array" aca="1" ref="E105" ca="1">MID(C105,FIND("(",C105,LOOKUP(2,1/(MID(C105,ROW(INDIRECT("1:"&amp;LEN(C105))),1)="("),ROW(INDIRECT("1:"&amp;LEN(C105)))))+1,FIND(")",C105,LOOKUP(2,1/(MID(C105,ROW(INDIRECT("1:"&amp;LEN(C105))),1)="("),ROW(INDIRECT("1:"&amp;LEN(C105)))))-FIND("(",C105,LOOKUP(2,1/(MID(C105,ROW(INDIRECT("1:"&amp;LEN(C105))),1)="("),ROW(INDIRECT("1:"&amp;LEN(C105)))))-1)</f>
        <v>4599</v>
      </c>
      <c r="F105" s="37"/>
      <c r="G105" s="37"/>
      <c r="H105" s="37"/>
      <c r="I105" s="37"/>
      <c r="J105" s="37"/>
      <c r="K105" s="37"/>
      <c r="L105" s="30" t="s">
        <v>166</v>
      </c>
      <c r="M105" s="3" t="s">
        <v>166</v>
      </c>
      <c r="N105" s="3" t="s">
        <v>166</v>
      </c>
      <c r="O105" s="3" t="s">
        <v>166</v>
      </c>
      <c r="P105" s="3" t="s">
        <v>166</v>
      </c>
      <c r="Q105" s="3" t="s">
        <v>166</v>
      </c>
      <c r="R105" s="3" t="s">
        <v>166</v>
      </c>
      <c r="S105" s="3" t="s">
        <v>166</v>
      </c>
      <c r="T105" s="3" t="s">
        <v>166</v>
      </c>
      <c r="U105" s="3" t="s">
        <v>166</v>
      </c>
      <c r="V105" s="3" t="s">
        <v>166</v>
      </c>
      <c r="W105" s="31" t="s">
        <v>166</v>
      </c>
      <c r="X105" s="3" t="s">
        <v>107</v>
      </c>
      <c r="Y105" s="3" t="s">
        <v>107</v>
      </c>
      <c r="Z105" s="3" t="s">
        <v>166</v>
      </c>
      <c r="AA105" s="3" t="s">
        <v>107</v>
      </c>
      <c r="AB105" s="3" t="s">
        <v>107</v>
      </c>
      <c r="AC105" s="3" t="s">
        <v>107</v>
      </c>
      <c r="AD105" s="3" t="s">
        <v>107</v>
      </c>
      <c r="AE105" s="3" t="s">
        <v>107</v>
      </c>
      <c r="AF105" s="30" t="s">
        <v>107</v>
      </c>
      <c r="AG105" s="3" t="s">
        <v>107</v>
      </c>
      <c r="AH105" s="31" t="s">
        <v>107</v>
      </c>
      <c r="AI105" s="21" t="s">
        <v>171</v>
      </c>
      <c r="AJ105" s="40">
        <v>1</v>
      </c>
    </row>
    <row r="106" spans="1:36" ht="45" x14ac:dyDescent="0.25">
      <c r="A106" t="s">
        <v>163</v>
      </c>
      <c r="B106" s="34" t="s">
        <v>203</v>
      </c>
      <c r="C106" s="5" t="s">
        <v>495</v>
      </c>
      <c r="D106" s="32" t="str">
        <f t="shared" si="1"/>
        <v>Cannabis dispensaries*</v>
      </c>
      <c r="E106" s="37" t="e" cm="1">
        <f t="array" aca="1" ref="E106" ca="1">MID(C106,FIND("(",C106,LOOKUP(2,1/(MID(C106,ROW(INDIRECT("1:"&amp;LEN(C106))),1)="("),ROW(INDIRECT("1:"&amp;LEN(C106)))))+1,FIND(")",C106,LOOKUP(2,1/(MID(C106,ROW(INDIRECT("1:"&amp;LEN(C106))),1)="("),ROW(INDIRECT("1:"&amp;LEN(C106)))))-FIND("(",C106,LOOKUP(2,1/(MID(C106,ROW(INDIRECT("1:"&amp;LEN(C106))),1)="("),ROW(INDIRECT("1:"&amp;LEN(C106)))))-1)</f>
        <v>#N/A</v>
      </c>
      <c r="F106" s="37"/>
      <c r="G106" s="37"/>
      <c r="H106" s="37"/>
      <c r="I106" s="37"/>
      <c r="J106" s="37"/>
      <c r="K106" s="37" t="s">
        <v>497</v>
      </c>
      <c r="L106" s="30" t="s">
        <v>166</v>
      </c>
      <c r="M106" s="3" t="s">
        <v>166</v>
      </c>
      <c r="N106" s="3" t="s">
        <v>166</v>
      </c>
      <c r="O106" s="3" t="s">
        <v>166</v>
      </c>
      <c r="P106" s="3" t="s">
        <v>166</v>
      </c>
      <c r="Q106" s="3" t="s">
        <v>166</v>
      </c>
      <c r="R106" s="3" t="s">
        <v>166</v>
      </c>
      <c r="S106" s="3" t="s">
        <v>166</v>
      </c>
      <c r="T106" s="3" t="s">
        <v>166</v>
      </c>
      <c r="U106" s="3" t="s">
        <v>166</v>
      </c>
      <c r="V106" s="3" t="s">
        <v>166</v>
      </c>
      <c r="W106" s="31" t="s">
        <v>166</v>
      </c>
      <c r="X106" s="3" t="s">
        <v>107</v>
      </c>
      <c r="Y106" s="3" t="s">
        <v>107</v>
      </c>
      <c r="Z106" s="3" t="s">
        <v>166</v>
      </c>
      <c r="AA106" s="3" t="s">
        <v>107</v>
      </c>
      <c r="AB106" s="3" t="s">
        <v>107</v>
      </c>
      <c r="AC106" s="3" t="s">
        <v>107</v>
      </c>
      <c r="AD106" s="3" t="s">
        <v>107</v>
      </c>
      <c r="AE106" s="3" t="s">
        <v>107</v>
      </c>
      <c r="AF106" s="30" t="s">
        <v>107</v>
      </c>
      <c r="AG106" s="3" t="s">
        <v>107</v>
      </c>
      <c r="AH106" s="31" t="s">
        <v>107</v>
      </c>
      <c r="AI106" s="21" t="s">
        <v>171</v>
      </c>
      <c r="AJ106" s="40">
        <v>1</v>
      </c>
    </row>
    <row r="107" spans="1:36" ht="30" x14ac:dyDescent="0.25">
      <c r="A107" t="s">
        <v>213</v>
      </c>
      <c r="B107" s="34" t="s">
        <v>214</v>
      </c>
      <c r="C107" s="34" t="s">
        <v>215</v>
      </c>
      <c r="D107" s="32" t="str">
        <f t="shared" si="1"/>
        <v>Postal service (4911)</v>
      </c>
      <c r="E107" s="37" t="str" cm="1">
        <f t="array" aca="1" ref="E107" ca="1">MID(C107,FIND("(",C107,LOOKUP(2,1/(MID(C107,ROW(INDIRECT("1:"&amp;LEN(C107))),1)="("),ROW(INDIRECT("1:"&amp;LEN(C107)))))+1,FIND(")",C107,LOOKUP(2,1/(MID(C107,ROW(INDIRECT("1:"&amp;LEN(C107))),1)="("),ROW(INDIRECT("1:"&amp;LEN(C107)))))-FIND("(",C107,LOOKUP(2,1/(MID(C107,ROW(INDIRECT("1:"&amp;LEN(C107))),1)="("),ROW(INDIRECT("1:"&amp;LEN(C107)))))-1)</f>
        <v>4911</v>
      </c>
      <c r="F107" s="37"/>
      <c r="G107" s="37"/>
      <c r="H107" s="37"/>
      <c r="I107" s="37"/>
      <c r="J107" s="37"/>
      <c r="K107" s="37"/>
      <c r="L107" s="27" t="s">
        <v>41</v>
      </c>
      <c r="M107" s="2" t="s">
        <v>41</v>
      </c>
      <c r="N107" s="2" t="s">
        <v>41</v>
      </c>
      <c r="O107" s="2" t="s">
        <v>41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41</v>
      </c>
      <c r="U107" s="2" t="s">
        <v>41</v>
      </c>
      <c r="V107" s="2" t="s">
        <v>41</v>
      </c>
      <c r="W107" s="29" t="s">
        <v>41</v>
      </c>
      <c r="X107" s="1" t="s">
        <v>42</v>
      </c>
      <c r="Y107" s="1" t="s">
        <v>42</v>
      </c>
      <c r="Z107" s="2" t="s">
        <v>41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26" t="s">
        <v>42</v>
      </c>
      <c r="AG107" s="1" t="s">
        <v>42</v>
      </c>
      <c r="AH107" s="28" t="s">
        <v>42</v>
      </c>
      <c r="AI107" s="28" t="s">
        <v>112</v>
      </c>
      <c r="AJ107" s="40">
        <v>1</v>
      </c>
    </row>
    <row r="108" spans="1:36" ht="30" x14ac:dyDescent="0.25">
      <c r="A108" t="s">
        <v>213</v>
      </c>
      <c r="B108" s="34" t="s">
        <v>214</v>
      </c>
      <c r="C108" s="34" t="s">
        <v>216</v>
      </c>
      <c r="D108" s="32" t="str">
        <f t="shared" si="1"/>
        <v>Couriers and express delivery services (4921)</v>
      </c>
      <c r="E108" s="37" t="str" cm="1">
        <f t="array" aca="1" ref="E108" ca="1">MID(C108,FIND("(",C108,LOOKUP(2,1/(MID(C108,ROW(INDIRECT("1:"&amp;LEN(C108))),1)="("),ROW(INDIRECT("1:"&amp;LEN(C108)))))+1,FIND(")",C108,LOOKUP(2,1/(MID(C108,ROW(INDIRECT("1:"&amp;LEN(C108))),1)="("),ROW(INDIRECT("1:"&amp;LEN(C108)))))-FIND("(",C108,LOOKUP(2,1/(MID(C108,ROW(INDIRECT("1:"&amp;LEN(C108))),1)="("),ROW(INDIRECT("1:"&amp;LEN(C108)))))-1)</f>
        <v>4921</v>
      </c>
      <c r="F108" s="37"/>
      <c r="G108" s="37"/>
      <c r="H108" s="37"/>
      <c r="I108" s="37"/>
      <c r="J108" s="37"/>
      <c r="K108" s="37"/>
      <c r="L108" s="27" t="s">
        <v>41</v>
      </c>
      <c r="M108" s="2" t="s">
        <v>41</v>
      </c>
      <c r="N108" s="2" t="s">
        <v>41</v>
      </c>
      <c r="O108" s="2" t="s">
        <v>41</v>
      </c>
      <c r="P108" s="2" t="s">
        <v>41</v>
      </c>
      <c r="Q108" s="2" t="s">
        <v>41</v>
      </c>
      <c r="R108" s="2" t="s">
        <v>41</v>
      </c>
      <c r="S108" s="2" t="s">
        <v>41</v>
      </c>
      <c r="T108" s="2" t="s">
        <v>41</v>
      </c>
      <c r="U108" s="2" t="s">
        <v>41</v>
      </c>
      <c r="V108" s="2" t="s">
        <v>41</v>
      </c>
      <c r="W108" s="29" t="s">
        <v>41</v>
      </c>
      <c r="X108" s="1" t="s">
        <v>42</v>
      </c>
      <c r="Y108" s="1" t="s">
        <v>42</v>
      </c>
      <c r="Z108" s="2" t="s">
        <v>41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26" t="s">
        <v>42</v>
      </c>
      <c r="AG108" s="1" t="s">
        <v>42</v>
      </c>
      <c r="AH108" s="28" t="s">
        <v>42</v>
      </c>
      <c r="AI108" s="28" t="s">
        <v>171</v>
      </c>
      <c r="AJ108" s="40">
        <v>1</v>
      </c>
    </row>
    <row r="109" spans="1:36" ht="30" x14ac:dyDescent="0.25">
      <c r="A109" t="s">
        <v>213</v>
      </c>
      <c r="B109" s="34" t="s">
        <v>214</v>
      </c>
      <c r="C109" s="34" t="s">
        <v>217</v>
      </c>
      <c r="D109" s="32" t="str">
        <f t="shared" si="1"/>
        <v>Local messengers and local delivery (4922)</v>
      </c>
      <c r="E109" s="37" t="str" cm="1">
        <f t="array" aca="1" ref="E109" ca="1">MID(C109,FIND("(",C109,LOOKUP(2,1/(MID(C109,ROW(INDIRECT("1:"&amp;LEN(C109))),1)="("),ROW(INDIRECT("1:"&amp;LEN(C109)))))+1,FIND(")",C109,LOOKUP(2,1/(MID(C109,ROW(INDIRECT("1:"&amp;LEN(C109))),1)="("),ROW(INDIRECT("1:"&amp;LEN(C109)))))-FIND("(",C109,LOOKUP(2,1/(MID(C109,ROW(INDIRECT("1:"&amp;LEN(C109))),1)="("),ROW(INDIRECT("1:"&amp;LEN(C109)))))-1)</f>
        <v>4922</v>
      </c>
      <c r="F109" s="37"/>
      <c r="G109" s="37"/>
      <c r="H109" s="37"/>
      <c r="I109" s="37"/>
      <c r="J109" s="37"/>
      <c r="K109" s="37"/>
      <c r="L109" s="27" t="s">
        <v>41</v>
      </c>
      <c r="M109" s="2" t="s">
        <v>41</v>
      </c>
      <c r="N109" s="2" t="s">
        <v>41</v>
      </c>
      <c r="O109" s="2" t="s">
        <v>41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41</v>
      </c>
      <c r="U109" s="2" t="s">
        <v>41</v>
      </c>
      <c r="V109" s="2" t="s">
        <v>41</v>
      </c>
      <c r="W109" s="29" t="s">
        <v>41</v>
      </c>
      <c r="X109" s="1" t="s">
        <v>42</v>
      </c>
      <c r="Y109" s="1" t="s">
        <v>42</v>
      </c>
      <c r="Z109" s="2" t="s">
        <v>41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26" t="s">
        <v>42</v>
      </c>
      <c r="AG109" s="1" t="s">
        <v>42</v>
      </c>
      <c r="AH109" s="28" t="s">
        <v>42</v>
      </c>
      <c r="AI109" s="28" t="s">
        <v>171</v>
      </c>
      <c r="AJ109" s="40">
        <v>1</v>
      </c>
    </row>
    <row r="110" spans="1:36" ht="30" x14ac:dyDescent="0.25">
      <c r="A110" t="s">
        <v>213</v>
      </c>
      <c r="B110" s="34" t="s">
        <v>218</v>
      </c>
      <c r="C110" s="34" t="s">
        <v>219</v>
      </c>
      <c r="D110" s="32" t="str">
        <f t="shared" si="1"/>
        <v>Wired and wireless telecommunications (5171)</v>
      </c>
      <c r="E110" s="37" t="str" cm="1">
        <f t="array" aca="1" ref="E110" ca="1">MID(C110,FIND("(",C110,LOOKUP(2,1/(MID(C110,ROW(INDIRECT("1:"&amp;LEN(C110))),1)="("),ROW(INDIRECT("1:"&amp;LEN(C110)))))+1,FIND(")",C110,LOOKUP(2,1/(MID(C110,ROW(INDIRECT("1:"&amp;LEN(C110))),1)="("),ROW(INDIRECT("1:"&amp;LEN(C110)))))-FIND("(",C110,LOOKUP(2,1/(MID(C110,ROW(INDIRECT("1:"&amp;LEN(C110))),1)="("),ROW(INDIRECT("1:"&amp;LEN(C110)))))-1)</f>
        <v>5171</v>
      </c>
      <c r="F110" s="37"/>
      <c r="G110" s="37"/>
      <c r="H110" s="37"/>
      <c r="I110" s="37"/>
      <c r="J110" s="37"/>
      <c r="K110" s="37"/>
      <c r="L110" s="27" t="s">
        <v>41</v>
      </c>
      <c r="M110" s="2" t="s">
        <v>41</v>
      </c>
      <c r="N110" s="2" t="s">
        <v>41</v>
      </c>
      <c r="O110" s="2" t="s">
        <v>41</v>
      </c>
      <c r="P110" s="2" t="s">
        <v>41</v>
      </c>
      <c r="Q110" s="2" t="s">
        <v>41</v>
      </c>
      <c r="R110" s="2" t="s">
        <v>41</v>
      </c>
      <c r="S110" s="2" t="s">
        <v>41</v>
      </c>
      <c r="T110" s="2" t="s">
        <v>41</v>
      </c>
      <c r="U110" s="2" t="s">
        <v>41</v>
      </c>
      <c r="V110" s="2" t="s">
        <v>41</v>
      </c>
      <c r="W110" s="29" t="s">
        <v>41</v>
      </c>
      <c r="X110" s="1" t="s">
        <v>42</v>
      </c>
      <c r="Y110" s="1" t="s">
        <v>42</v>
      </c>
      <c r="Z110" s="2" t="s">
        <v>41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26" t="s">
        <v>42</v>
      </c>
      <c r="AG110" s="2" t="s">
        <v>41</v>
      </c>
      <c r="AH110" s="29" t="s">
        <v>41</v>
      </c>
      <c r="AI110" s="28" t="s">
        <v>171</v>
      </c>
      <c r="AJ110" s="40">
        <v>1</v>
      </c>
    </row>
    <row r="111" spans="1:36" ht="45" x14ac:dyDescent="0.25">
      <c r="A111" t="s">
        <v>213</v>
      </c>
      <c r="B111" s="34" t="s">
        <v>220</v>
      </c>
      <c r="C111" s="34" t="s">
        <v>221</v>
      </c>
      <c r="D111" s="32" t="str">
        <f t="shared" si="1"/>
        <v>Computing infrastructure providers, data processing, web hosting, and related services (5182)</v>
      </c>
      <c r="E111" s="37" t="str" cm="1">
        <f t="array" aca="1" ref="E111" ca="1">MID(C111,FIND("(",C111,LOOKUP(2,1/(MID(C111,ROW(INDIRECT("1:"&amp;LEN(C111))),1)="("),ROW(INDIRECT("1:"&amp;LEN(C111)))))+1,FIND(")",C111,LOOKUP(2,1/(MID(C111,ROW(INDIRECT("1:"&amp;LEN(C111))),1)="("),ROW(INDIRECT("1:"&amp;LEN(C111)))))-FIND("(",C111,LOOKUP(2,1/(MID(C111,ROW(INDIRECT("1:"&amp;LEN(C111))),1)="("),ROW(INDIRECT("1:"&amp;LEN(C111)))))-1)</f>
        <v>5182</v>
      </c>
      <c r="F111" s="37"/>
      <c r="G111" s="37"/>
      <c r="H111" s="37"/>
      <c r="I111" s="37"/>
      <c r="J111" s="37"/>
      <c r="K111" s="37"/>
      <c r="L111" s="27" t="s">
        <v>41</v>
      </c>
      <c r="M111" s="2" t="s">
        <v>41</v>
      </c>
      <c r="N111" s="2" t="s">
        <v>41</v>
      </c>
      <c r="O111" s="2" t="s">
        <v>41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41</v>
      </c>
      <c r="U111" s="2" t="s">
        <v>41</v>
      </c>
      <c r="V111" s="2" t="s">
        <v>41</v>
      </c>
      <c r="W111" s="29" t="s">
        <v>41</v>
      </c>
      <c r="X111" s="1" t="s">
        <v>81</v>
      </c>
      <c r="Y111" s="1" t="s">
        <v>42</v>
      </c>
      <c r="Z111" s="2" t="s">
        <v>41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26" t="s">
        <v>42</v>
      </c>
      <c r="AG111" s="1" t="s">
        <v>42</v>
      </c>
      <c r="AH111" s="28" t="s">
        <v>42</v>
      </c>
      <c r="AI111" s="28" t="s">
        <v>175</v>
      </c>
      <c r="AJ111" s="40">
        <v>1</v>
      </c>
    </row>
    <row r="112" spans="1:36" ht="30" x14ac:dyDescent="0.25">
      <c r="A112" t="s">
        <v>213</v>
      </c>
      <c r="B112" s="34" t="s">
        <v>222</v>
      </c>
      <c r="C112" s="34" t="s">
        <v>223</v>
      </c>
      <c r="D112" s="32" t="str">
        <f t="shared" si="1"/>
        <v>Savings, loan and other financial services (5221, 5222 and 5223)</v>
      </c>
      <c r="E112" s="37" t="str" cm="1">
        <f t="array" aca="1" ref="E112" ca="1">MID(C112,FIND("(",C112,LOOKUP(2,1/(MID(C112,ROW(INDIRECT("1:"&amp;LEN(C112))),1)="("),ROW(INDIRECT("1:"&amp;LEN(C112)))))+1,FIND(")",C112,LOOKUP(2,1/(MID(C112,ROW(INDIRECT("1:"&amp;LEN(C112))),1)="("),ROW(INDIRECT("1:"&amp;LEN(C112)))))-FIND("(",C112,LOOKUP(2,1/(MID(C112,ROW(INDIRECT("1:"&amp;LEN(C112))),1)="("),ROW(INDIRECT("1:"&amp;LEN(C112)))))-1)</f>
        <v>5221, 5222 and 5223</v>
      </c>
      <c r="F112" s="37" t="s">
        <v>436</v>
      </c>
      <c r="G112" s="37"/>
      <c r="H112" s="37"/>
      <c r="I112" s="37"/>
      <c r="J112" s="37"/>
      <c r="K112" s="37"/>
      <c r="L112" s="27" t="s">
        <v>41</v>
      </c>
      <c r="M112" s="2" t="s">
        <v>41</v>
      </c>
      <c r="N112" s="2" t="s">
        <v>41</v>
      </c>
      <c r="O112" s="2" t="s">
        <v>41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9" t="s">
        <v>41</v>
      </c>
      <c r="X112" s="1" t="s">
        <v>42</v>
      </c>
      <c r="Y112" s="1" t="s">
        <v>42</v>
      </c>
      <c r="Z112" s="2" t="s">
        <v>41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26" t="s">
        <v>42</v>
      </c>
      <c r="AG112" s="1" t="s">
        <v>42</v>
      </c>
      <c r="AH112" s="28" t="s">
        <v>42</v>
      </c>
      <c r="AI112" s="28" t="s">
        <v>175</v>
      </c>
      <c r="AJ112" s="40">
        <v>2</v>
      </c>
    </row>
    <row r="113" spans="1:36" ht="45" x14ac:dyDescent="0.25">
      <c r="A113" t="s">
        <v>213</v>
      </c>
      <c r="B113" s="34" t="s">
        <v>224</v>
      </c>
      <c r="C113" s="34" t="s">
        <v>225</v>
      </c>
      <c r="D113" s="32" t="str">
        <f t="shared" si="1"/>
        <v>Securities, commodity contracts, and other financial investments and related activities (5231, 5232 and 5239)</v>
      </c>
      <c r="E113" s="37" t="str" cm="1">
        <f t="array" aca="1" ref="E113" ca="1">MID(C113,FIND("(",C113,LOOKUP(2,1/(MID(C113,ROW(INDIRECT("1:"&amp;LEN(C113))),1)="("),ROW(INDIRECT("1:"&amp;LEN(C113)))))+1,FIND(")",C113,LOOKUP(2,1/(MID(C113,ROW(INDIRECT("1:"&amp;LEN(C113))),1)="("),ROW(INDIRECT("1:"&amp;LEN(C113)))))-FIND("(",C113,LOOKUP(2,1/(MID(C113,ROW(INDIRECT("1:"&amp;LEN(C113))),1)="("),ROW(INDIRECT("1:"&amp;LEN(C113)))))-1)</f>
        <v>5231, 5232 and 5239</v>
      </c>
      <c r="F113" s="37" t="s">
        <v>437</v>
      </c>
      <c r="G113" s="37"/>
      <c r="H113" s="37"/>
      <c r="I113" s="37"/>
      <c r="J113" s="37"/>
      <c r="K113" s="37"/>
      <c r="L113" s="27" t="s">
        <v>41</v>
      </c>
      <c r="M113" s="2" t="s">
        <v>41</v>
      </c>
      <c r="N113" s="2" t="s">
        <v>41</v>
      </c>
      <c r="O113" s="2" t="s">
        <v>41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41</v>
      </c>
      <c r="U113" s="2" t="s">
        <v>41</v>
      </c>
      <c r="V113" s="2" t="s">
        <v>41</v>
      </c>
      <c r="W113" s="29" t="s">
        <v>41</v>
      </c>
      <c r="X113" s="1" t="s">
        <v>42</v>
      </c>
      <c r="Y113" s="1" t="s">
        <v>42</v>
      </c>
      <c r="Z113" s="2" t="s">
        <v>41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26" t="s">
        <v>42</v>
      </c>
      <c r="AG113" s="1" t="s">
        <v>42</v>
      </c>
      <c r="AH113" s="28" t="s">
        <v>42</v>
      </c>
      <c r="AI113" s="28" t="s">
        <v>175</v>
      </c>
      <c r="AJ113" s="40">
        <v>2</v>
      </c>
    </row>
    <row r="114" spans="1:36" ht="30" x14ac:dyDescent="0.25">
      <c r="A114" t="s">
        <v>213</v>
      </c>
      <c r="B114" s="34" t="s">
        <v>226</v>
      </c>
      <c r="C114" s="34" t="s">
        <v>227</v>
      </c>
      <c r="D114" s="32" t="str">
        <f t="shared" si="1"/>
        <v>Insurance carriers and related activities (5241 and 5242)</v>
      </c>
      <c r="E114" s="37" t="str" cm="1">
        <f t="array" aca="1" ref="E114" ca="1">MID(C114,FIND("(",C114,LOOKUP(2,1/(MID(C114,ROW(INDIRECT("1:"&amp;LEN(C114))),1)="("),ROW(INDIRECT("1:"&amp;LEN(C114)))))+1,FIND(")",C114,LOOKUP(2,1/(MID(C114,ROW(INDIRECT("1:"&amp;LEN(C114))),1)="("),ROW(INDIRECT("1:"&amp;LEN(C114)))))-FIND("(",C114,LOOKUP(2,1/(MID(C114,ROW(INDIRECT("1:"&amp;LEN(C114))),1)="("),ROW(INDIRECT("1:"&amp;LEN(C114)))))-1)</f>
        <v>5241 and 5242</v>
      </c>
      <c r="F114" s="37" t="s">
        <v>438</v>
      </c>
      <c r="G114" s="37"/>
      <c r="H114" s="37"/>
      <c r="I114" s="37"/>
      <c r="J114" s="37"/>
      <c r="K114" s="37"/>
      <c r="L114" s="27" t="s">
        <v>41</v>
      </c>
      <c r="M114" s="2" t="s">
        <v>41</v>
      </c>
      <c r="N114" s="2" t="s">
        <v>41</v>
      </c>
      <c r="O114" s="2" t="s">
        <v>41</v>
      </c>
      <c r="P114" s="2" t="s">
        <v>41</v>
      </c>
      <c r="Q114" s="2" t="s">
        <v>41</v>
      </c>
      <c r="R114" s="2" t="s">
        <v>41</v>
      </c>
      <c r="S114" s="2" t="s">
        <v>41</v>
      </c>
      <c r="T114" s="2" t="s">
        <v>41</v>
      </c>
      <c r="U114" s="2" t="s">
        <v>41</v>
      </c>
      <c r="V114" s="2" t="s">
        <v>41</v>
      </c>
      <c r="W114" s="29" t="s">
        <v>41</v>
      </c>
      <c r="X114" s="1" t="s">
        <v>42</v>
      </c>
      <c r="Y114" s="1" t="s">
        <v>42</v>
      </c>
      <c r="Z114" s="2" t="s">
        <v>41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26" t="s">
        <v>42</v>
      </c>
      <c r="AG114" s="1" t="s">
        <v>42</v>
      </c>
      <c r="AH114" s="28" t="s">
        <v>42</v>
      </c>
      <c r="AI114" s="28" t="s">
        <v>175</v>
      </c>
      <c r="AJ114" s="40">
        <v>2</v>
      </c>
    </row>
    <row r="115" spans="1:36" ht="30" x14ac:dyDescent="0.25">
      <c r="A115" t="s">
        <v>213</v>
      </c>
      <c r="B115" s="34" t="s">
        <v>228</v>
      </c>
      <c r="C115" s="34" t="s">
        <v>229</v>
      </c>
      <c r="D115" s="32" t="str">
        <f t="shared" si="1"/>
        <v>Funds, trusts and other financial vehicles (5251 and 5259)</v>
      </c>
      <c r="E115" s="37" t="str" cm="1">
        <f t="array" aca="1" ref="E115" ca="1">MID(C115,FIND("(",C115,LOOKUP(2,1/(MID(C115,ROW(INDIRECT("1:"&amp;LEN(C115))),1)="("),ROW(INDIRECT("1:"&amp;LEN(C115)))))+1,FIND(")",C115,LOOKUP(2,1/(MID(C115,ROW(INDIRECT("1:"&amp;LEN(C115))),1)="("),ROW(INDIRECT("1:"&amp;LEN(C115)))))-FIND("(",C115,LOOKUP(2,1/(MID(C115,ROW(INDIRECT("1:"&amp;LEN(C115))),1)="("),ROW(INDIRECT("1:"&amp;LEN(C115)))))-1)</f>
        <v>5251 and 5259</v>
      </c>
      <c r="F115" s="37" t="s">
        <v>439</v>
      </c>
      <c r="G115" s="37"/>
      <c r="H115" s="37"/>
      <c r="I115" s="37"/>
      <c r="J115" s="37"/>
      <c r="K115" s="37"/>
      <c r="L115" s="27" t="s">
        <v>41</v>
      </c>
      <c r="M115" s="2" t="s">
        <v>41</v>
      </c>
      <c r="N115" s="2" t="s">
        <v>41</v>
      </c>
      <c r="O115" s="2" t="s">
        <v>41</v>
      </c>
      <c r="P115" s="2" t="s">
        <v>41</v>
      </c>
      <c r="Q115" s="2" t="s">
        <v>41</v>
      </c>
      <c r="R115" s="2" t="s">
        <v>41</v>
      </c>
      <c r="S115" s="2" t="s">
        <v>41</v>
      </c>
      <c r="T115" s="2" t="s">
        <v>41</v>
      </c>
      <c r="U115" s="2" t="s">
        <v>41</v>
      </c>
      <c r="V115" s="2" t="s">
        <v>41</v>
      </c>
      <c r="W115" s="29" t="s">
        <v>41</v>
      </c>
      <c r="X115" s="1" t="s">
        <v>42</v>
      </c>
      <c r="Y115" s="1" t="s">
        <v>42</v>
      </c>
      <c r="Z115" s="2" t="s">
        <v>41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26" t="s">
        <v>42</v>
      </c>
      <c r="AG115" s="1" t="s">
        <v>42</v>
      </c>
      <c r="AH115" s="28" t="s">
        <v>42</v>
      </c>
      <c r="AI115" s="28" t="s">
        <v>175</v>
      </c>
      <c r="AJ115" s="40">
        <v>2</v>
      </c>
    </row>
    <row r="116" spans="1:36" ht="30" x14ac:dyDescent="0.25">
      <c r="A116" t="s">
        <v>213</v>
      </c>
      <c r="B116" s="34" t="s">
        <v>230</v>
      </c>
      <c r="C116" s="34" t="s">
        <v>231</v>
      </c>
      <c r="D116" s="32" t="str">
        <f t="shared" si="1"/>
        <v>Real estate (5311, 5312, and 5313)</v>
      </c>
      <c r="E116" s="37" t="str" cm="1">
        <f t="array" aca="1" ref="E116" ca="1">MID(C116,FIND("(",C116,LOOKUP(2,1/(MID(C116,ROW(INDIRECT("1:"&amp;LEN(C116))),1)="("),ROW(INDIRECT("1:"&amp;LEN(C116)))))+1,FIND(")",C116,LOOKUP(2,1/(MID(C116,ROW(INDIRECT("1:"&amp;LEN(C116))),1)="("),ROW(INDIRECT("1:"&amp;LEN(C116)))))-FIND("(",C116,LOOKUP(2,1/(MID(C116,ROW(INDIRECT("1:"&amp;LEN(C116))),1)="("),ROW(INDIRECT("1:"&amp;LEN(C116)))))-1)</f>
        <v>5311, 5312, and 5313</v>
      </c>
      <c r="F116" s="37" t="s">
        <v>440</v>
      </c>
      <c r="G116" s="37"/>
      <c r="H116" s="37"/>
      <c r="I116" s="37"/>
      <c r="J116" s="37"/>
      <c r="K116" s="37"/>
      <c r="L116" s="27" t="s">
        <v>41</v>
      </c>
      <c r="M116" s="2" t="s">
        <v>41</v>
      </c>
      <c r="N116" s="2" t="s">
        <v>41</v>
      </c>
      <c r="O116" s="2" t="s">
        <v>41</v>
      </c>
      <c r="P116" s="2" t="s">
        <v>41</v>
      </c>
      <c r="Q116" s="2" t="s">
        <v>41</v>
      </c>
      <c r="R116" s="2" t="s">
        <v>41</v>
      </c>
      <c r="S116" s="2" t="s">
        <v>41</v>
      </c>
      <c r="T116" s="2" t="s">
        <v>41</v>
      </c>
      <c r="U116" s="2" t="s">
        <v>41</v>
      </c>
      <c r="V116" s="2" t="s">
        <v>41</v>
      </c>
      <c r="W116" s="29" t="s">
        <v>41</v>
      </c>
      <c r="X116" s="1" t="s">
        <v>42</v>
      </c>
      <c r="Y116" s="1" t="s">
        <v>42</v>
      </c>
      <c r="Z116" s="2" t="s">
        <v>41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26" t="s">
        <v>42</v>
      </c>
      <c r="AG116" s="1" t="s">
        <v>42</v>
      </c>
      <c r="AH116" s="28" t="s">
        <v>42</v>
      </c>
      <c r="AI116" s="28" t="s">
        <v>175</v>
      </c>
      <c r="AJ116" s="40">
        <v>2</v>
      </c>
    </row>
    <row r="117" spans="1:36" ht="33" x14ac:dyDescent="0.25">
      <c r="A117" t="s">
        <v>213</v>
      </c>
      <c r="B117" s="34" t="s">
        <v>232</v>
      </c>
      <c r="C117" s="34" t="s">
        <v>233</v>
      </c>
      <c r="D117" s="32" t="str">
        <f t="shared" si="1"/>
        <v>Automotive equipment rental and leasing (5321)</v>
      </c>
      <c r="E117" s="37" t="str" cm="1">
        <f t="array" aca="1" ref="E117" ca="1">MID(C117,FIND("(",C117,LOOKUP(2,1/(MID(C117,ROW(INDIRECT("1:"&amp;LEN(C117))),1)="("),ROW(INDIRECT("1:"&amp;LEN(C117)))))+1,FIND(")",C117,LOOKUP(2,1/(MID(C117,ROW(INDIRECT("1:"&amp;LEN(C117))),1)="("),ROW(INDIRECT("1:"&amp;LEN(C117)))))-FIND("(",C117,LOOKUP(2,1/(MID(C117,ROW(INDIRECT("1:"&amp;LEN(C117))),1)="("),ROW(INDIRECT("1:"&amp;LEN(C117)))))-1)</f>
        <v>5321</v>
      </c>
      <c r="F117" s="37"/>
      <c r="G117" s="37"/>
      <c r="H117" s="37"/>
      <c r="I117" s="37"/>
      <c r="J117" s="37"/>
      <c r="K117" s="37"/>
      <c r="L117" s="27" t="s">
        <v>41</v>
      </c>
      <c r="M117" s="2" t="s">
        <v>41</v>
      </c>
      <c r="N117" s="2" t="s">
        <v>41</v>
      </c>
      <c r="O117" s="2" t="s">
        <v>41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41</v>
      </c>
      <c r="U117" s="2" t="s">
        <v>41</v>
      </c>
      <c r="V117" s="2" t="s">
        <v>41</v>
      </c>
      <c r="W117" s="29" t="s">
        <v>41</v>
      </c>
      <c r="X117" s="1" t="s">
        <v>81</v>
      </c>
      <c r="Y117" s="1" t="s">
        <v>42</v>
      </c>
      <c r="Z117" s="2" t="s">
        <v>41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137</v>
      </c>
      <c r="AF117" s="26" t="s">
        <v>137</v>
      </c>
      <c r="AG117" s="1" t="s">
        <v>137</v>
      </c>
      <c r="AH117" s="28" t="s">
        <v>137</v>
      </c>
      <c r="AI117" s="29" t="s">
        <v>43</v>
      </c>
      <c r="AJ117" s="40">
        <v>1</v>
      </c>
    </row>
    <row r="118" spans="1:36" ht="33" x14ac:dyDescent="0.25">
      <c r="A118" t="s">
        <v>213</v>
      </c>
      <c r="B118" s="34" t="s">
        <v>232</v>
      </c>
      <c r="C118" s="34" t="s">
        <v>234</v>
      </c>
      <c r="D118" s="32" t="str">
        <f t="shared" si="1"/>
        <v>Consumer electronics and appliances rental (53221)</v>
      </c>
      <c r="E118" s="37" t="str" cm="1">
        <f t="array" aca="1" ref="E118" ca="1">MID(C118,FIND("(",C118,LOOKUP(2,1/(MID(C118,ROW(INDIRECT("1:"&amp;LEN(C118))),1)="("),ROW(INDIRECT("1:"&amp;LEN(C118)))))+1,FIND(")",C118,LOOKUP(2,1/(MID(C118,ROW(INDIRECT("1:"&amp;LEN(C118))),1)="("),ROW(INDIRECT("1:"&amp;LEN(C118)))))-FIND("(",C118,LOOKUP(2,1/(MID(C118,ROW(INDIRECT("1:"&amp;LEN(C118))),1)="("),ROW(INDIRECT("1:"&amp;LEN(C118)))))-1)</f>
        <v>53221</v>
      </c>
      <c r="F118" s="37"/>
      <c r="G118" s="37"/>
      <c r="H118" s="37"/>
      <c r="I118" s="37"/>
      <c r="J118" s="37"/>
      <c r="K118" s="37"/>
      <c r="L118" s="27" t="s">
        <v>41</v>
      </c>
      <c r="M118" s="2" t="s">
        <v>41</v>
      </c>
      <c r="N118" s="2" t="s">
        <v>41</v>
      </c>
      <c r="O118" s="2" t="s">
        <v>41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41</v>
      </c>
      <c r="U118" s="2" t="s">
        <v>41</v>
      </c>
      <c r="V118" s="2" t="s">
        <v>41</v>
      </c>
      <c r="W118" s="29" t="s">
        <v>41</v>
      </c>
      <c r="X118" s="1" t="s">
        <v>81</v>
      </c>
      <c r="Y118" s="1" t="s">
        <v>81</v>
      </c>
      <c r="Z118" s="2" t="s">
        <v>41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26" t="s">
        <v>42</v>
      </c>
      <c r="AG118" s="1" t="s">
        <v>42</v>
      </c>
      <c r="AH118" s="28" t="s">
        <v>42</v>
      </c>
      <c r="AI118" s="28" t="s">
        <v>175</v>
      </c>
      <c r="AJ118" s="40">
        <v>1</v>
      </c>
    </row>
    <row r="119" spans="1:36" ht="33" x14ac:dyDescent="0.25">
      <c r="A119" t="s">
        <v>213</v>
      </c>
      <c r="B119" s="34" t="s">
        <v>232</v>
      </c>
      <c r="C119" s="34" t="s">
        <v>235</v>
      </c>
      <c r="D119" s="32" t="str">
        <f t="shared" si="1"/>
        <v>Recreational goods rental (532284)</v>
      </c>
      <c r="E119" s="37" t="str" cm="1">
        <f t="array" aca="1" ref="E119" ca="1">MID(C119,FIND("(",C119,LOOKUP(2,1/(MID(C119,ROW(INDIRECT("1:"&amp;LEN(C119))),1)="("),ROW(INDIRECT("1:"&amp;LEN(C119)))))+1,FIND(")",C119,LOOKUP(2,1/(MID(C119,ROW(INDIRECT("1:"&amp;LEN(C119))),1)="("),ROW(INDIRECT("1:"&amp;LEN(C119)))))-FIND("(",C119,LOOKUP(2,1/(MID(C119,ROW(INDIRECT("1:"&amp;LEN(C119))),1)="("),ROW(INDIRECT("1:"&amp;LEN(C119)))))-1)</f>
        <v>532284</v>
      </c>
      <c r="F119" s="37"/>
      <c r="G119" s="37"/>
      <c r="H119" s="37"/>
      <c r="I119" s="37"/>
      <c r="J119" s="37"/>
      <c r="K119" s="37"/>
      <c r="L119" s="27" t="s">
        <v>41</v>
      </c>
      <c r="M119" s="2" t="s">
        <v>41</v>
      </c>
      <c r="N119" s="2" t="s">
        <v>41</v>
      </c>
      <c r="O119" s="2" t="s">
        <v>41</v>
      </c>
      <c r="P119" s="2" t="s">
        <v>41</v>
      </c>
      <c r="Q119" s="2" t="s">
        <v>41</v>
      </c>
      <c r="R119" s="2" t="s">
        <v>41</v>
      </c>
      <c r="S119" s="2" t="s">
        <v>41</v>
      </c>
      <c r="T119" s="2" t="s">
        <v>41</v>
      </c>
      <c r="U119" s="2" t="s">
        <v>41</v>
      </c>
      <c r="V119" s="2" t="s">
        <v>41</v>
      </c>
      <c r="W119" s="29" t="s">
        <v>41</v>
      </c>
      <c r="X119" s="1" t="s">
        <v>81</v>
      </c>
      <c r="Y119" s="1" t="s">
        <v>81</v>
      </c>
      <c r="Z119" s="1" t="s">
        <v>137</v>
      </c>
      <c r="AA119" s="1" t="s">
        <v>42</v>
      </c>
      <c r="AB119" s="1" t="s">
        <v>42</v>
      </c>
      <c r="AC119" s="3" t="s">
        <v>107</v>
      </c>
      <c r="AD119" s="1" t="s">
        <v>42</v>
      </c>
      <c r="AE119" s="1" t="s">
        <v>137</v>
      </c>
      <c r="AF119" s="26" t="s">
        <v>137</v>
      </c>
      <c r="AG119" s="1" t="s">
        <v>137</v>
      </c>
      <c r="AH119" s="28" t="s">
        <v>137</v>
      </c>
      <c r="AI119" s="28" t="s">
        <v>175</v>
      </c>
      <c r="AJ119" s="40">
        <v>1</v>
      </c>
    </row>
    <row r="120" spans="1:36" ht="33" x14ac:dyDescent="0.25">
      <c r="A120" t="s">
        <v>213</v>
      </c>
      <c r="B120" s="34" t="s">
        <v>232</v>
      </c>
      <c r="C120" s="34" t="s">
        <v>236</v>
      </c>
      <c r="D120" s="32" t="str">
        <f t="shared" si="1"/>
        <v>All other consumer goods rentals (in 5322)</v>
      </c>
      <c r="E120" s="37" t="str" cm="1">
        <f t="array" aca="1" ref="E120" ca="1">MID(C120,FIND("(",C120,LOOKUP(2,1/(MID(C120,ROW(INDIRECT("1:"&amp;LEN(C120))),1)="("),ROW(INDIRECT("1:"&amp;LEN(C120)))))+1,FIND(")",C120,LOOKUP(2,1/(MID(C120,ROW(INDIRECT("1:"&amp;LEN(C120))),1)="("),ROW(INDIRECT("1:"&amp;LEN(C120)))))-FIND("(",C120,LOOKUP(2,1/(MID(C120,ROW(INDIRECT("1:"&amp;LEN(C120))),1)="("),ROW(INDIRECT("1:"&amp;LEN(C120)))))-1)</f>
        <v>in 5322</v>
      </c>
      <c r="F120" s="37" t="s">
        <v>237</v>
      </c>
      <c r="G120" s="37"/>
      <c r="H120" s="37"/>
      <c r="I120" s="37" t="s">
        <v>441</v>
      </c>
      <c r="J120" s="37"/>
      <c r="K120" s="37"/>
      <c r="L120" s="27" t="s">
        <v>41</v>
      </c>
      <c r="M120" s="2" t="s">
        <v>41</v>
      </c>
      <c r="N120" s="2" t="s">
        <v>41</v>
      </c>
      <c r="O120" s="2" t="s">
        <v>41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41</v>
      </c>
      <c r="U120" s="2" t="s">
        <v>41</v>
      </c>
      <c r="V120" s="2" t="s">
        <v>41</v>
      </c>
      <c r="W120" s="29" t="s">
        <v>41</v>
      </c>
      <c r="X120" s="1" t="s">
        <v>81</v>
      </c>
      <c r="Y120" s="1" t="s">
        <v>81</v>
      </c>
      <c r="Z120" s="2" t="s">
        <v>41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26" t="s">
        <v>42</v>
      </c>
      <c r="AG120" s="2" t="s">
        <v>41</v>
      </c>
      <c r="AH120" s="29" t="s">
        <v>41</v>
      </c>
      <c r="AI120" s="28" t="s">
        <v>175</v>
      </c>
      <c r="AJ120" s="40">
        <v>3</v>
      </c>
    </row>
    <row r="121" spans="1:36" ht="33" x14ac:dyDescent="0.25">
      <c r="A121" t="s">
        <v>213</v>
      </c>
      <c r="B121" s="34" t="s">
        <v>232</v>
      </c>
      <c r="C121" s="34" t="s">
        <v>238</v>
      </c>
      <c r="D121" s="32" t="str">
        <f t="shared" si="1"/>
        <v>General rental centers (5323)</v>
      </c>
      <c r="E121" s="37" t="str" cm="1">
        <f t="array" aca="1" ref="E121" ca="1">MID(C121,FIND("(",C121,LOOKUP(2,1/(MID(C121,ROW(INDIRECT("1:"&amp;LEN(C121))),1)="("),ROW(INDIRECT("1:"&amp;LEN(C121)))))+1,FIND(")",C121,LOOKUP(2,1/(MID(C121,ROW(INDIRECT("1:"&amp;LEN(C121))),1)="("),ROW(INDIRECT("1:"&amp;LEN(C121)))))-FIND("(",C121,LOOKUP(2,1/(MID(C121,ROW(INDIRECT("1:"&amp;LEN(C121))),1)="("),ROW(INDIRECT("1:"&amp;LEN(C121)))))-1)</f>
        <v>5323</v>
      </c>
      <c r="F121" s="37"/>
      <c r="G121" s="37"/>
      <c r="H121" s="37"/>
      <c r="I121" s="37"/>
      <c r="J121" s="37"/>
      <c r="K121" s="37"/>
      <c r="L121" s="27" t="s">
        <v>41</v>
      </c>
      <c r="M121" s="2" t="s">
        <v>41</v>
      </c>
      <c r="N121" s="2" t="s">
        <v>41</v>
      </c>
      <c r="O121" s="2" t="s">
        <v>41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41</v>
      </c>
      <c r="U121" s="2" t="s">
        <v>41</v>
      </c>
      <c r="V121" s="2" t="s">
        <v>41</v>
      </c>
      <c r="W121" s="29" t="s">
        <v>41</v>
      </c>
      <c r="X121" s="1" t="s">
        <v>81</v>
      </c>
      <c r="Y121" s="1" t="s">
        <v>81</v>
      </c>
      <c r="Z121" s="2" t="s">
        <v>41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26" t="s">
        <v>42</v>
      </c>
      <c r="AG121" s="2" t="s">
        <v>41</v>
      </c>
      <c r="AH121" s="29" t="s">
        <v>41</v>
      </c>
      <c r="AI121" s="28" t="s">
        <v>175</v>
      </c>
      <c r="AJ121" s="40">
        <v>1</v>
      </c>
    </row>
    <row r="122" spans="1:36" ht="33" x14ac:dyDescent="0.25">
      <c r="A122" t="s">
        <v>213</v>
      </c>
      <c r="B122" s="34" t="s">
        <v>232</v>
      </c>
      <c r="C122" s="34" t="s">
        <v>239</v>
      </c>
      <c r="D122" s="32" t="str">
        <f t="shared" si="1"/>
        <v>Commercial and industrial machinery and equipment rental and leasing (5324)</v>
      </c>
      <c r="E122" s="37" t="str" cm="1">
        <f t="array" aca="1" ref="E122" ca="1">MID(C122,FIND("(",C122,LOOKUP(2,1/(MID(C122,ROW(INDIRECT("1:"&amp;LEN(C122))),1)="("),ROW(INDIRECT("1:"&amp;LEN(C122)))))+1,FIND(")",C122,LOOKUP(2,1/(MID(C122,ROW(INDIRECT("1:"&amp;LEN(C122))),1)="("),ROW(INDIRECT("1:"&amp;LEN(C122)))))-FIND("(",C122,LOOKUP(2,1/(MID(C122,ROW(INDIRECT("1:"&amp;LEN(C122))),1)="("),ROW(INDIRECT("1:"&amp;LEN(C122)))))-1)</f>
        <v>5324</v>
      </c>
      <c r="F122" s="37"/>
      <c r="G122" s="37"/>
      <c r="H122" s="37"/>
      <c r="I122" s="37"/>
      <c r="J122" s="37"/>
      <c r="K122" s="37"/>
      <c r="L122" s="27" t="s">
        <v>41</v>
      </c>
      <c r="M122" s="2" t="s">
        <v>41</v>
      </c>
      <c r="N122" s="2" t="s">
        <v>41</v>
      </c>
      <c r="O122" s="2" t="s">
        <v>41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41</v>
      </c>
      <c r="U122" s="2" t="s">
        <v>41</v>
      </c>
      <c r="V122" s="2" t="s">
        <v>41</v>
      </c>
      <c r="W122" s="29" t="s">
        <v>41</v>
      </c>
      <c r="X122" s="1" t="s">
        <v>81</v>
      </c>
      <c r="Y122" s="1" t="s">
        <v>81</v>
      </c>
      <c r="Z122" s="2" t="s">
        <v>41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137</v>
      </c>
      <c r="AF122" s="26" t="s">
        <v>137</v>
      </c>
      <c r="AG122" s="1" t="s">
        <v>137</v>
      </c>
      <c r="AH122" s="28" t="s">
        <v>137</v>
      </c>
      <c r="AI122" s="28" t="s">
        <v>175</v>
      </c>
      <c r="AJ122" s="40">
        <v>1</v>
      </c>
    </row>
    <row r="123" spans="1:36" ht="33" x14ac:dyDescent="0.25">
      <c r="A123" t="s">
        <v>213</v>
      </c>
      <c r="B123" s="34" t="s">
        <v>240</v>
      </c>
      <c r="C123" s="34" t="s">
        <v>241</v>
      </c>
      <c r="D123" s="32" t="str">
        <f t="shared" si="1"/>
        <v>Veterinary services (54194)</v>
      </c>
      <c r="E123" s="37" t="str" cm="1">
        <f t="array" aca="1" ref="E123" ca="1">MID(C123,FIND("(",C123,LOOKUP(2,1/(MID(C123,ROW(INDIRECT("1:"&amp;LEN(C123))),1)="("),ROW(INDIRECT("1:"&amp;LEN(C123)))))+1,FIND(")",C123,LOOKUP(2,1/(MID(C123,ROW(INDIRECT("1:"&amp;LEN(C123))),1)="("),ROW(INDIRECT("1:"&amp;LEN(C123)))))-FIND("(",C123,LOOKUP(2,1/(MID(C123,ROW(INDIRECT("1:"&amp;LEN(C123))),1)="("),ROW(INDIRECT("1:"&amp;LEN(C123)))))-1)</f>
        <v>54194</v>
      </c>
      <c r="F123" s="37"/>
      <c r="G123" s="37"/>
      <c r="H123" s="37"/>
      <c r="I123" s="37"/>
      <c r="J123" s="37"/>
      <c r="K123" s="37"/>
      <c r="L123" s="27" t="s">
        <v>41</v>
      </c>
      <c r="M123" s="2" t="s">
        <v>41</v>
      </c>
      <c r="N123" s="2" t="s">
        <v>41</v>
      </c>
      <c r="O123" s="2" t="s">
        <v>41</v>
      </c>
      <c r="P123" s="2" t="s">
        <v>41</v>
      </c>
      <c r="Q123" s="2" t="s">
        <v>41</v>
      </c>
      <c r="R123" s="2" t="s">
        <v>41</v>
      </c>
      <c r="S123" s="2" t="s">
        <v>41</v>
      </c>
      <c r="T123" s="2" t="s">
        <v>41</v>
      </c>
      <c r="U123" s="2" t="s">
        <v>41</v>
      </c>
      <c r="V123" s="2" t="s">
        <v>41</v>
      </c>
      <c r="W123" s="29" t="s">
        <v>41</v>
      </c>
      <c r="X123" s="1" t="s">
        <v>35</v>
      </c>
      <c r="Y123" s="1" t="s">
        <v>35</v>
      </c>
      <c r="Z123" s="2" t="s">
        <v>41</v>
      </c>
      <c r="AA123" s="1" t="s">
        <v>35</v>
      </c>
      <c r="AB123" s="1" t="s">
        <v>35</v>
      </c>
      <c r="AC123" s="1" t="s">
        <v>35</v>
      </c>
      <c r="AD123" s="1" t="s">
        <v>35</v>
      </c>
      <c r="AE123" s="1" t="s">
        <v>35</v>
      </c>
      <c r="AF123" s="26" t="s">
        <v>35</v>
      </c>
      <c r="AG123" s="1" t="s">
        <v>35</v>
      </c>
      <c r="AH123" s="28" t="s">
        <v>35</v>
      </c>
      <c r="AI123" s="28" t="s">
        <v>175</v>
      </c>
      <c r="AJ123" s="40">
        <v>1</v>
      </c>
    </row>
    <row r="124" spans="1:36" ht="30" x14ac:dyDescent="0.25">
      <c r="A124" t="s">
        <v>213</v>
      </c>
      <c r="B124" s="34" t="s">
        <v>240</v>
      </c>
      <c r="C124" s="34" t="s">
        <v>242</v>
      </c>
      <c r="D124" s="32" t="str">
        <f t="shared" si="1"/>
        <v>All other professional, scientific, and technical services (in 541)</v>
      </c>
      <c r="E124" s="37" t="str" cm="1">
        <f t="array" aca="1" ref="E124" ca="1">MID(C124,FIND("(",C124,LOOKUP(2,1/(MID(C124,ROW(INDIRECT("1:"&amp;LEN(C124))),1)="("),ROW(INDIRECT("1:"&amp;LEN(C124)))))+1,FIND(")",C124,LOOKUP(2,1/(MID(C124,ROW(INDIRECT("1:"&amp;LEN(C124))),1)="("),ROW(INDIRECT("1:"&amp;LEN(C124)))))-FIND("(",C124,LOOKUP(2,1/(MID(C124,ROW(INDIRECT("1:"&amp;LEN(C124))),1)="("),ROW(INDIRECT("1:"&amp;LEN(C124)))))-1)</f>
        <v>in 541</v>
      </c>
      <c r="F124" s="37" t="s">
        <v>243</v>
      </c>
      <c r="G124" s="37"/>
      <c r="H124" s="37"/>
      <c r="I124" s="37">
        <v>54194</v>
      </c>
      <c r="J124" s="37"/>
      <c r="K124" s="37"/>
      <c r="L124" s="27" t="s">
        <v>41</v>
      </c>
      <c r="M124" s="2" t="s">
        <v>41</v>
      </c>
      <c r="N124" s="2" t="s">
        <v>41</v>
      </c>
      <c r="O124" s="2" t="s">
        <v>41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41</v>
      </c>
      <c r="U124" s="2" t="s">
        <v>41</v>
      </c>
      <c r="V124" s="2" t="s">
        <v>41</v>
      </c>
      <c r="W124" s="29" t="s">
        <v>41</v>
      </c>
      <c r="X124" s="1" t="s">
        <v>42</v>
      </c>
      <c r="Y124" s="1" t="s">
        <v>42</v>
      </c>
      <c r="Z124" s="2" t="s">
        <v>41</v>
      </c>
      <c r="AA124" s="1" t="s">
        <v>42</v>
      </c>
      <c r="AB124" s="1" t="s">
        <v>42</v>
      </c>
      <c r="AC124" s="3" t="s">
        <v>107</v>
      </c>
      <c r="AD124" s="1" t="s">
        <v>42</v>
      </c>
      <c r="AE124" s="1" t="s">
        <v>42</v>
      </c>
      <c r="AF124" s="26" t="s">
        <v>42</v>
      </c>
      <c r="AG124" s="1" t="s">
        <v>42</v>
      </c>
      <c r="AH124" s="28" t="s">
        <v>42</v>
      </c>
      <c r="AI124" s="28" t="s">
        <v>175</v>
      </c>
      <c r="AJ124" s="40">
        <v>3</v>
      </c>
    </row>
    <row r="125" spans="1:36" ht="30" x14ac:dyDescent="0.25">
      <c r="A125" t="s">
        <v>213</v>
      </c>
      <c r="B125" s="34" t="s">
        <v>244</v>
      </c>
      <c r="C125" s="34" t="s">
        <v>245</v>
      </c>
      <c r="D125" s="32" t="str">
        <f t="shared" si="1"/>
        <v>Management of companies and enterprises (5511)</v>
      </c>
      <c r="E125" s="37" t="str" cm="1">
        <f t="array" aca="1" ref="E125" ca="1">MID(C125,FIND("(",C125,LOOKUP(2,1/(MID(C125,ROW(INDIRECT("1:"&amp;LEN(C125))),1)="("),ROW(INDIRECT("1:"&amp;LEN(C125)))))+1,FIND(")",C125,LOOKUP(2,1/(MID(C125,ROW(INDIRECT("1:"&amp;LEN(C125))),1)="("),ROW(INDIRECT("1:"&amp;LEN(C125)))))-FIND("(",C125,LOOKUP(2,1/(MID(C125,ROW(INDIRECT("1:"&amp;LEN(C125))),1)="("),ROW(INDIRECT("1:"&amp;LEN(C125)))))-1)</f>
        <v>5511</v>
      </c>
      <c r="F125" s="37"/>
      <c r="G125" s="37"/>
      <c r="H125" s="37"/>
      <c r="I125" s="37"/>
      <c r="J125" s="37"/>
      <c r="K125" s="37"/>
      <c r="L125" s="27" t="s">
        <v>41</v>
      </c>
      <c r="M125" s="2" t="s">
        <v>41</v>
      </c>
      <c r="N125" s="2" t="s">
        <v>41</v>
      </c>
      <c r="O125" s="2" t="s">
        <v>41</v>
      </c>
      <c r="P125" s="2" t="s">
        <v>41</v>
      </c>
      <c r="Q125" s="2" t="s">
        <v>41</v>
      </c>
      <c r="R125" s="2" t="s">
        <v>41</v>
      </c>
      <c r="S125" s="2" t="s">
        <v>41</v>
      </c>
      <c r="T125" s="2" t="s">
        <v>41</v>
      </c>
      <c r="U125" s="2" t="s">
        <v>41</v>
      </c>
      <c r="V125" s="2" t="s">
        <v>41</v>
      </c>
      <c r="W125" s="29" t="s">
        <v>41</v>
      </c>
      <c r="X125" s="1" t="s">
        <v>42</v>
      </c>
      <c r="Y125" s="1" t="s">
        <v>42</v>
      </c>
      <c r="Z125" s="2" t="s">
        <v>41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26" t="s">
        <v>42</v>
      </c>
      <c r="AG125" s="1" t="s">
        <v>42</v>
      </c>
      <c r="AH125" s="28" t="s">
        <v>42</v>
      </c>
      <c r="AI125" s="28" t="s">
        <v>175</v>
      </c>
      <c r="AJ125" s="40">
        <v>1</v>
      </c>
    </row>
    <row r="126" spans="1:36" ht="30" x14ac:dyDescent="0.25">
      <c r="A126" t="s">
        <v>213</v>
      </c>
      <c r="B126" s="34" t="s">
        <v>246</v>
      </c>
      <c r="C126" s="34" t="s">
        <v>247</v>
      </c>
      <c r="D126" s="32" t="str">
        <f t="shared" si="1"/>
        <v>Travel and reservation services (5615)</v>
      </c>
      <c r="E126" s="37" t="str" cm="1">
        <f t="array" aca="1" ref="E126" ca="1">MID(C126,FIND("(",C126,LOOKUP(2,1/(MID(C126,ROW(INDIRECT("1:"&amp;LEN(C126))),1)="("),ROW(INDIRECT("1:"&amp;LEN(C126)))))+1,FIND(")",C126,LOOKUP(2,1/(MID(C126,ROW(INDIRECT("1:"&amp;LEN(C126))),1)="("),ROW(INDIRECT("1:"&amp;LEN(C126)))))-FIND("(",C126,LOOKUP(2,1/(MID(C126,ROW(INDIRECT("1:"&amp;LEN(C126))),1)="("),ROW(INDIRECT("1:"&amp;LEN(C126)))))-1)</f>
        <v>5615</v>
      </c>
      <c r="F126" s="37"/>
      <c r="G126" s="37"/>
      <c r="H126" s="37"/>
      <c r="I126" s="37"/>
      <c r="J126" s="37"/>
      <c r="K126" s="37"/>
      <c r="L126" s="27" t="s">
        <v>41</v>
      </c>
      <c r="M126" s="2" t="s">
        <v>41</v>
      </c>
      <c r="N126" s="2" t="s">
        <v>41</v>
      </c>
      <c r="O126" s="2" t="s">
        <v>41</v>
      </c>
      <c r="P126" s="2" t="s">
        <v>41</v>
      </c>
      <c r="Q126" s="2" t="s">
        <v>41</v>
      </c>
      <c r="R126" s="2" t="s">
        <v>41</v>
      </c>
      <c r="S126" s="2" t="s">
        <v>41</v>
      </c>
      <c r="T126" s="2" t="s">
        <v>41</v>
      </c>
      <c r="U126" s="2" t="s">
        <v>41</v>
      </c>
      <c r="V126" s="2" t="s">
        <v>41</v>
      </c>
      <c r="W126" s="29" t="s">
        <v>41</v>
      </c>
      <c r="X126" s="1" t="s">
        <v>42</v>
      </c>
      <c r="Y126" s="1" t="s">
        <v>42</v>
      </c>
      <c r="Z126" s="2" t="s">
        <v>41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26" t="s">
        <v>42</v>
      </c>
      <c r="AG126" s="2" t="s">
        <v>41</v>
      </c>
      <c r="AH126" s="29" t="s">
        <v>41</v>
      </c>
      <c r="AI126" s="28" t="s">
        <v>175</v>
      </c>
      <c r="AJ126" s="40">
        <v>1</v>
      </c>
    </row>
    <row r="127" spans="1:36" ht="33" x14ac:dyDescent="0.25">
      <c r="A127" t="s">
        <v>213</v>
      </c>
      <c r="B127" s="34" t="s">
        <v>246</v>
      </c>
      <c r="C127" s="34" t="s">
        <v>248</v>
      </c>
      <c r="D127" s="32" t="str">
        <f t="shared" si="1"/>
        <v>Carpet and upholstery cleaning services (56174)</v>
      </c>
      <c r="E127" s="37" t="str" cm="1">
        <f t="array" aca="1" ref="E127" ca="1">MID(C127,FIND("(",C127,LOOKUP(2,1/(MID(C127,ROW(INDIRECT("1:"&amp;LEN(C127))),1)="("),ROW(INDIRECT("1:"&amp;LEN(C127)))))+1,FIND(")",C127,LOOKUP(2,1/(MID(C127,ROW(INDIRECT("1:"&amp;LEN(C127))),1)="("),ROW(INDIRECT("1:"&amp;LEN(C127)))))-FIND("(",C127,LOOKUP(2,1/(MID(C127,ROW(INDIRECT("1:"&amp;LEN(C127))),1)="("),ROW(INDIRECT("1:"&amp;LEN(C127)))))-1)</f>
        <v>56174</v>
      </c>
      <c r="F127" s="37"/>
      <c r="G127" s="37"/>
      <c r="H127" s="37"/>
      <c r="I127" s="37"/>
      <c r="J127" s="37"/>
      <c r="K127" s="37"/>
      <c r="L127" s="27" t="s">
        <v>41</v>
      </c>
      <c r="M127" s="2" t="s">
        <v>41</v>
      </c>
      <c r="N127" s="2" t="s">
        <v>41</v>
      </c>
      <c r="O127" s="2" t="s">
        <v>41</v>
      </c>
      <c r="P127" s="2" t="s">
        <v>41</v>
      </c>
      <c r="Q127" s="2" t="s">
        <v>41</v>
      </c>
      <c r="R127" s="2" t="s">
        <v>41</v>
      </c>
      <c r="S127" s="2" t="s">
        <v>41</v>
      </c>
      <c r="T127" s="2" t="s">
        <v>41</v>
      </c>
      <c r="U127" s="2" t="s">
        <v>41</v>
      </c>
      <c r="V127" s="2" t="s">
        <v>41</v>
      </c>
      <c r="W127" s="29" t="s">
        <v>41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  <c r="AD127" s="2" t="s">
        <v>41</v>
      </c>
      <c r="AE127" s="1" t="s">
        <v>35</v>
      </c>
      <c r="AF127" s="26" t="s">
        <v>35</v>
      </c>
      <c r="AG127" s="1" t="s">
        <v>35</v>
      </c>
      <c r="AH127" s="28" t="s">
        <v>35</v>
      </c>
      <c r="AI127" s="28" t="s">
        <v>249</v>
      </c>
      <c r="AJ127" s="40">
        <v>1</v>
      </c>
    </row>
    <row r="128" spans="1:36" ht="30" x14ac:dyDescent="0.25">
      <c r="A128" t="s">
        <v>213</v>
      </c>
      <c r="B128" s="34" t="s">
        <v>246</v>
      </c>
      <c r="C128" s="34" t="s">
        <v>250</v>
      </c>
      <c r="D128" s="32" t="str">
        <f t="shared" si="1"/>
        <v>All other services to buildings and dwellings (in 5617)</v>
      </c>
      <c r="E128" s="37" t="str" cm="1">
        <f t="array" aca="1" ref="E128" ca="1">MID(C128,FIND("(",C128,LOOKUP(2,1/(MID(C128,ROW(INDIRECT("1:"&amp;LEN(C128))),1)="("),ROW(INDIRECT("1:"&amp;LEN(C128)))))+1,FIND(")",C128,LOOKUP(2,1/(MID(C128,ROW(INDIRECT("1:"&amp;LEN(C128))),1)="("),ROW(INDIRECT("1:"&amp;LEN(C128)))))-FIND("(",C128,LOOKUP(2,1/(MID(C128,ROW(INDIRECT("1:"&amp;LEN(C128))),1)="("),ROW(INDIRECT("1:"&amp;LEN(C128)))))-1)</f>
        <v>in 5617</v>
      </c>
      <c r="F128" s="37" t="s">
        <v>251</v>
      </c>
      <c r="G128" s="37"/>
      <c r="H128" s="37"/>
      <c r="I128" s="37">
        <v>56174</v>
      </c>
      <c r="J128" s="37"/>
      <c r="K128" s="37"/>
      <c r="L128" s="27" t="s">
        <v>41</v>
      </c>
      <c r="M128" s="2" t="s">
        <v>41</v>
      </c>
      <c r="N128" s="2" t="s">
        <v>41</v>
      </c>
      <c r="O128" s="2" t="s">
        <v>41</v>
      </c>
      <c r="P128" s="2" t="s">
        <v>41</v>
      </c>
      <c r="Q128" s="2" t="s">
        <v>41</v>
      </c>
      <c r="R128" s="2" t="s">
        <v>41</v>
      </c>
      <c r="S128" s="2" t="s">
        <v>41</v>
      </c>
      <c r="T128" s="2" t="s">
        <v>41</v>
      </c>
      <c r="U128" s="2" t="s">
        <v>41</v>
      </c>
      <c r="V128" s="2" t="s">
        <v>41</v>
      </c>
      <c r="W128" s="29" t="s">
        <v>41</v>
      </c>
      <c r="X128" s="1" t="s">
        <v>42</v>
      </c>
      <c r="Y128" s="1" t="s">
        <v>42</v>
      </c>
      <c r="Z128" s="2" t="s">
        <v>41</v>
      </c>
      <c r="AA128" s="1" t="s">
        <v>42</v>
      </c>
      <c r="AB128" s="1" t="s">
        <v>42</v>
      </c>
      <c r="AC128" s="3" t="s">
        <v>107</v>
      </c>
      <c r="AD128" s="1" t="s">
        <v>42</v>
      </c>
      <c r="AE128" s="1" t="s">
        <v>42</v>
      </c>
      <c r="AF128" s="26" t="s">
        <v>42</v>
      </c>
      <c r="AG128" s="1" t="s">
        <v>42</v>
      </c>
      <c r="AH128" s="28" t="s">
        <v>42</v>
      </c>
      <c r="AI128" s="28" t="s">
        <v>175</v>
      </c>
      <c r="AJ128" s="40">
        <v>3</v>
      </c>
    </row>
    <row r="129" spans="1:36" ht="30" x14ac:dyDescent="0.25">
      <c r="A129" t="s">
        <v>213</v>
      </c>
      <c r="B129" s="34" t="s">
        <v>246</v>
      </c>
      <c r="C129" s="34" t="s">
        <v>252</v>
      </c>
      <c r="D129" s="32" t="str">
        <f t="shared" si="1"/>
        <v>All other administrative and support services (in 561)</v>
      </c>
      <c r="E129" s="37" t="str" cm="1">
        <f t="array" aca="1" ref="E129" ca="1">MID(C129,FIND("(",C129,LOOKUP(2,1/(MID(C129,ROW(INDIRECT("1:"&amp;LEN(C129))),1)="("),ROW(INDIRECT("1:"&amp;LEN(C129)))))+1,FIND(")",C129,LOOKUP(2,1/(MID(C129,ROW(INDIRECT("1:"&amp;LEN(C129))),1)="("),ROW(INDIRECT("1:"&amp;LEN(C129)))))-FIND("(",C129,LOOKUP(2,1/(MID(C129,ROW(INDIRECT("1:"&amp;LEN(C129))),1)="("),ROW(INDIRECT("1:"&amp;LEN(C129)))))-1)</f>
        <v>in 561</v>
      </c>
      <c r="F129" s="37" t="s">
        <v>253</v>
      </c>
      <c r="G129" s="37"/>
      <c r="H129" s="37"/>
      <c r="I129" s="37" t="s">
        <v>442</v>
      </c>
      <c r="J129" s="37"/>
      <c r="K129" s="37"/>
      <c r="L129" s="27" t="s">
        <v>41</v>
      </c>
      <c r="M129" s="2" t="s">
        <v>41</v>
      </c>
      <c r="N129" s="2" t="s">
        <v>41</v>
      </c>
      <c r="O129" s="2" t="s">
        <v>41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41</v>
      </c>
      <c r="U129" s="2" t="s">
        <v>41</v>
      </c>
      <c r="V129" s="2" t="s">
        <v>41</v>
      </c>
      <c r="W129" s="29" t="s">
        <v>41</v>
      </c>
      <c r="X129" s="1" t="s">
        <v>42</v>
      </c>
      <c r="Y129" s="1" t="s">
        <v>42</v>
      </c>
      <c r="Z129" s="2" t="s">
        <v>41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26" t="s">
        <v>42</v>
      </c>
      <c r="AG129" s="1" t="s">
        <v>42</v>
      </c>
      <c r="AH129" s="28" t="s">
        <v>42</v>
      </c>
      <c r="AI129" s="28" t="s">
        <v>175</v>
      </c>
      <c r="AJ129" s="40">
        <v>3</v>
      </c>
    </row>
    <row r="130" spans="1:36" ht="30" x14ac:dyDescent="0.25">
      <c r="A130" t="s">
        <v>213</v>
      </c>
      <c r="B130" s="34" t="s">
        <v>254</v>
      </c>
      <c r="C130" s="34" t="s">
        <v>255</v>
      </c>
      <c r="D130" s="32" t="str">
        <f t="shared" si="1"/>
        <v>Business schools and computer and management training (6114)</v>
      </c>
      <c r="E130" s="37" t="str" cm="1">
        <f t="array" aca="1" ref="E130" ca="1">MID(C130,FIND("(",C130,LOOKUP(2,1/(MID(C130,ROW(INDIRECT("1:"&amp;LEN(C130))),1)="("),ROW(INDIRECT("1:"&amp;LEN(C130)))))+1,FIND(")",C130,LOOKUP(2,1/(MID(C130,ROW(INDIRECT("1:"&amp;LEN(C130))),1)="("),ROW(INDIRECT("1:"&amp;LEN(C130)))))-FIND("(",C130,LOOKUP(2,1/(MID(C130,ROW(INDIRECT("1:"&amp;LEN(C130))),1)="("),ROW(INDIRECT("1:"&amp;LEN(C130)))))-1)</f>
        <v>6114</v>
      </c>
      <c r="F130" s="37"/>
      <c r="G130" s="37"/>
      <c r="H130" s="37"/>
      <c r="I130" s="37"/>
      <c r="J130" s="37"/>
      <c r="K130" s="37"/>
      <c r="L130" s="27" t="s">
        <v>41</v>
      </c>
      <c r="M130" s="2" t="s">
        <v>41</v>
      </c>
      <c r="N130" s="2" t="s">
        <v>41</v>
      </c>
      <c r="O130" s="2" t="s">
        <v>41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41</v>
      </c>
      <c r="U130" s="2" t="s">
        <v>41</v>
      </c>
      <c r="V130" s="2" t="s">
        <v>41</v>
      </c>
      <c r="W130" s="29" t="s">
        <v>41</v>
      </c>
      <c r="X130" s="1" t="s">
        <v>42</v>
      </c>
      <c r="Y130" s="1" t="s">
        <v>42</v>
      </c>
      <c r="Z130" s="2" t="s">
        <v>41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26" t="s">
        <v>42</v>
      </c>
      <c r="AG130" s="2" t="s">
        <v>41</v>
      </c>
      <c r="AH130" s="29" t="s">
        <v>41</v>
      </c>
      <c r="AI130" s="28" t="s">
        <v>175</v>
      </c>
      <c r="AJ130" s="40">
        <v>1</v>
      </c>
    </row>
    <row r="131" spans="1:36" ht="33" x14ac:dyDescent="0.25">
      <c r="A131" t="s">
        <v>213</v>
      </c>
      <c r="B131" s="34" t="s">
        <v>254</v>
      </c>
      <c r="C131" s="34" t="s">
        <v>256</v>
      </c>
      <c r="D131" s="32" t="str">
        <f t="shared" ref="D131:D194" si="2">_xlfn.TEXTAFTER(C131," - ",,,,C131)</f>
        <v>Technical and trade schools (6115)</v>
      </c>
      <c r="E131" s="37" t="str" cm="1">
        <f t="array" aca="1" ref="E131" ca="1">MID(C131,FIND("(",C131,LOOKUP(2,1/(MID(C131,ROW(INDIRECT("1:"&amp;LEN(C131))),1)="("),ROW(INDIRECT("1:"&amp;LEN(C131)))))+1,FIND(")",C131,LOOKUP(2,1/(MID(C131,ROW(INDIRECT("1:"&amp;LEN(C131))),1)="("),ROW(INDIRECT("1:"&amp;LEN(C131)))))-FIND("(",C131,LOOKUP(2,1/(MID(C131,ROW(INDIRECT("1:"&amp;LEN(C131))),1)="("),ROW(INDIRECT("1:"&amp;LEN(C131)))))-1)</f>
        <v>6115</v>
      </c>
      <c r="F131" s="37"/>
      <c r="G131" s="37"/>
      <c r="H131" s="37"/>
      <c r="I131" s="37"/>
      <c r="J131" s="37"/>
      <c r="K131" s="37"/>
      <c r="L131" s="27" t="s">
        <v>41</v>
      </c>
      <c r="M131" s="2" t="s">
        <v>41</v>
      </c>
      <c r="N131" s="2" t="s">
        <v>41</v>
      </c>
      <c r="O131" s="2" t="s">
        <v>41</v>
      </c>
      <c r="P131" s="2" t="s">
        <v>41</v>
      </c>
      <c r="Q131" s="2" t="s">
        <v>41</v>
      </c>
      <c r="R131" s="2" t="s">
        <v>41</v>
      </c>
      <c r="S131" s="2" t="s">
        <v>41</v>
      </c>
      <c r="T131" s="2" t="s">
        <v>41</v>
      </c>
      <c r="U131" s="2" t="s">
        <v>41</v>
      </c>
      <c r="V131" s="2" t="s">
        <v>41</v>
      </c>
      <c r="W131" s="29" t="s">
        <v>41</v>
      </c>
      <c r="X131" s="1" t="s">
        <v>35</v>
      </c>
      <c r="Y131" s="1" t="s">
        <v>35</v>
      </c>
      <c r="Z131" s="2" t="s">
        <v>41</v>
      </c>
      <c r="AA131" s="1" t="s">
        <v>35</v>
      </c>
      <c r="AB131" s="1" t="s">
        <v>35</v>
      </c>
      <c r="AC131" s="1" t="s">
        <v>35</v>
      </c>
      <c r="AD131" s="1" t="s">
        <v>35</v>
      </c>
      <c r="AE131" s="1" t="s">
        <v>35</v>
      </c>
      <c r="AF131" s="26" t="s">
        <v>35</v>
      </c>
      <c r="AG131" s="1" t="s">
        <v>35</v>
      </c>
      <c r="AH131" s="28" t="s">
        <v>35</v>
      </c>
      <c r="AI131" s="28" t="s">
        <v>175</v>
      </c>
      <c r="AJ131" s="40">
        <v>1</v>
      </c>
    </row>
    <row r="132" spans="1:36" ht="30" x14ac:dyDescent="0.25">
      <c r="A132" t="s">
        <v>213</v>
      </c>
      <c r="B132" s="34" t="s">
        <v>254</v>
      </c>
      <c r="C132" s="34" t="s">
        <v>257</v>
      </c>
      <c r="D132" s="32" t="str">
        <f t="shared" si="2"/>
        <v>All other schools and instruction (6116 and 6117)</v>
      </c>
      <c r="E132" s="37" t="str" cm="1">
        <f t="array" aca="1" ref="E132" ca="1">MID(C132,FIND("(",C132,LOOKUP(2,1/(MID(C132,ROW(INDIRECT("1:"&amp;LEN(C132))),1)="("),ROW(INDIRECT("1:"&amp;LEN(C132)))))+1,FIND(")",C132,LOOKUP(2,1/(MID(C132,ROW(INDIRECT("1:"&amp;LEN(C132))),1)="("),ROW(INDIRECT("1:"&amp;LEN(C132)))))-FIND("(",C132,LOOKUP(2,1/(MID(C132,ROW(INDIRECT("1:"&amp;LEN(C132))),1)="("),ROW(INDIRECT("1:"&amp;LEN(C132)))))-1)</f>
        <v>6116 and 6117</v>
      </c>
      <c r="F132" s="37" t="s">
        <v>443</v>
      </c>
      <c r="G132" s="37"/>
      <c r="H132" s="37"/>
      <c r="I132" s="37"/>
      <c r="J132" s="37"/>
      <c r="K132" s="37"/>
      <c r="L132" s="27" t="s">
        <v>41</v>
      </c>
      <c r="M132" s="2" t="s">
        <v>41</v>
      </c>
      <c r="N132" s="2" t="s">
        <v>41</v>
      </c>
      <c r="O132" s="2" t="s">
        <v>41</v>
      </c>
      <c r="P132" s="2" t="s">
        <v>41</v>
      </c>
      <c r="Q132" s="2" t="s">
        <v>41</v>
      </c>
      <c r="R132" s="2" t="s">
        <v>41</v>
      </c>
      <c r="S132" s="2" t="s">
        <v>41</v>
      </c>
      <c r="T132" s="2" t="s">
        <v>41</v>
      </c>
      <c r="U132" s="2" t="s">
        <v>41</v>
      </c>
      <c r="V132" s="2" t="s">
        <v>41</v>
      </c>
      <c r="W132" s="29" t="s">
        <v>41</v>
      </c>
      <c r="X132" s="1" t="s">
        <v>42</v>
      </c>
      <c r="Y132" s="1" t="s">
        <v>42</v>
      </c>
      <c r="Z132" s="2" t="s">
        <v>41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26" t="s">
        <v>42</v>
      </c>
      <c r="AG132" s="2" t="s">
        <v>41</v>
      </c>
      <c r="AH132" s="29" t="s">
        <v>41</v>
      </c>
      <c r="AI132" s="28" t="s">
        <v>175</v>
      </c>
      <c r="AJ132" s="40">
        <v>2</v>
      </c>
    </row>
    <row r="133" spans="1:36" ht="33" x14ac:dyDescent="0.25">
      <c r="A133" t="s">
        <v>213</v>
      </c>
      <c r="B133" s="34" t="s">
        <v>258</v>
      </c>
      <c r="C133" s="34" t="s">
        <v>259</v>
      </c>
      <c r="D133" s="32" t="str">
        <f t="shared" si="2"/>
        <v>Special food services (7223)</v>
      </c>
      <c r="E133" s="37" t="str" cm="1">
        <f t="array" aca="1" ref="E133" ca="1">MID(C133,FIND("(",C133,LOOKUP(2,1/(MID(C133,ROW(INDIRECT("1:"&amp;LEN(C133))),1)="("),ROW(INDIRECT("1:"&amp;LEN(C133)))))+1,FIND(")",C133,LOOKUP(2,1/(MID(C133,ROW(INDIRECT("1:"&amp;LEN(C133))),1)="("),ROW(INDIRECT("1:"&amp;LEN(C133)))))-FIND("(",C133,LOOKUP(2,1/(MID(C133,ROW(INDIRECT("1:"&amp;LEN(C133))),1)="("),ROW(INDIRECT("1:"&amp;LEN(C133)))))-1)</f>
        <v>7223</v>
      </c>
      <c r="F133" s="37"/>
      <c r="G133" s="37"/>
      <c r="H133" s="37"/>
      <c r="I133" s="37"/>
      <c r="J133" s="37"/>
      <c r="K133" s="37"/>
      <c r="L133" s="27" t="s">
        <v>41</v>
      </c>
      <c r="M133" s="2" t="s">
        <v>41</v>
      </c>
      <c r="N133" s="2" t="s">
        <v>41</v>
      </c>
      <c r="O133" s="2" t="s">
        <v>41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41</v>
      </c>
      <c r="U133" s="2" t="s">
        <v>41</v>
      </c>
      <c r="V133" s="2" t="s">
        <v>41</v>
      </c>
      <c r="W133" s="29" t="s">
        <v>41</v>
      </c>
      <c r="X133" s="1" t="s">
        <v>81</v>
      </c>
      <c r="Y133" s="3" t="s">
        <v>107</v>
      </c>
      <c r="Z133" s="3" t="s">
        <v>107</v>
      </c>
      <c r="AA133" s="3" t="s">
        <v>107</v>
      </c>
      <c r="AB133" s="3" t="s">
        <v>107</v>
      </c>
      <c r="AC133" s="3" t="s">
        <v>107</v>
      </c>
      <c r="AD133" s="3" t="s">
        <v>107</v>
      </c>
      <c r="AE133" s="3" t="s">
        <v>107</v>
      </c>
      <c r="AF133" s="30" t="s">
        <v>107</v>
      </c>
      <c r="AG133" s="3" t="s">
        <v>107</v>
      </c>
      <c r="AH133" s="31" t="s">
        <v>107</v>
      </c>
      <c r="AI133" s="28" t="s">
        <v>175</v>
      </c>
      <c r="AJ133" s="40">
        <v>1</v>
      </c>
    </row>
    <row r="134" spans="1:36" ht="33" x14ac:dyDescent="0.25">
      <c r="A134" t="s">
        <v>213</v>
      </c>
      <c r="B134" s="34" t="s">
        <v>258</v>
      </c>
      <c r="C134" s="34" t="s">
        <v>260</v>
      </c>
      <c r="D134" s="32" t="str">
        <f t="shared" si="2"/>
        <v>Eating or drinking establishments (7224 and 7225)</v>
      </c>
      <c r="E134" s="37" t="str" cm="1">
        <f t="array" aca="1" ref="E134" ca="1">MID(C134,FIND("(",C134,LOOKUP(2,1/(MID(C134,ROW(INDIRECT("1:"&amp;LEN(C134))),1)="("),ROW(INDIRECT("1:"&amp;LEN(C134)))))+1,FIND(")",C134,LOOKUP(2,1/(MID(C134,ROW(INDIRECT("1:"&amp;LEN(C134))),1)="("),ROW(INDIRECT("1:"&amp;LEN(C134)))))-FIND("(",C134,LOOKUP(2,1/(MID(C134,ROW(INDIRECT("1:"&amp;LEN(C134))),1)="("),ROW(INDIRECT("1:"&amp;LEN(C134)))))-1)</f>
        <v>7224 and 7225</v>
      </c>
      <c r="F134" s="37" t="s">
        <v>444</v>
      </c>
      <c r="G134" s="37"/>
      <c r="H134" s="37"/>
      <c r="I134" s="37"/>
      <c r="J134" s="37"/>
      <c r="K134" s="37"/>
      <c r="L134" s="27" t="s">
        <v>41</v>
      </c>
      <c r="M134" s="2" t="s">
        <v>41</v>
      </c>
      <c r="N134" s="2" t="s">
        <v>41</v>
      </c>
      <c r="O134" s="2" t="s">
        <v>41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41</v>
      </c>
      <c r="U134" s="2" t="s">
        <v>41</v>
      </c>
      <c r="V134" s="2" t="s">
        <v>41</v>
      </c>
      <c r="W134" s="29" t="s">
        <v>41</v>
      </c>
      <c r="X134" s="1" t="s">
        <v>121</v>
      </c>
      <c r="Y134" s="1" t="s">
        <v>121</v>
      </c>
      <c r="Z134" s="1" t="s">
        <v>121</v>
      </c>
      <c r="AA134" s="1" t="s">
        <v>37</v>
      </c>
      <c r="AB134" s="1" t="s">
        <v>37</v>
      </c>
      <c r="AC134" s="1" t="s">
        <v>37</v>
      </c>
      <c r="AD134" s="1" t="s">
        <v>121</v>
      </c>
      <c r="AE134" s="1" t="s">
        <v>137</v>
      </c>
      <c r="AF134" s="26" t="s">
        <v>137</v>
      </c>
      <c r="AG134" s="1" t="s">
        <v>137</v>
      </c>
      <c r="AH134" s="28" t="s">
        <v>137</v>
      </c>
      <c r="AI134" s="28" t="s">
        <v>261</v>
      </c>
      <c r="AJ134" s="40">
        <v>2</v>
      </c>
    </row>
    <row r="135" spans="1:36" ht="45" x14ac:dyDescent="0.25">
      <c r="A135" t="s">
        <v>213</v>
      </c>
      <c r="B135" s="34" t="s">
        <v>262</v>
      </c>
      <c r="C135" s="34" t="s">
        <v>263</v>
      </c>
      <c r="D135" s="32" t="str">
        <f t="shared" si="2"/>
        <v>#Heavy motor vehicle repair and maintenance shops#</v>
      </c>
      <c r="E135" s="37" t="s">
        <v>465</v>
      </c>
      <c r="F135" s="37"/>
      <c r="G135" s="37"/>
      <c r="H135" s="37"/>
      <c r="I135" s="37"/>
      <c r="J135" s="37"/>
      <c r="K135" s="44" t="s">
        <v>520</v>
      </c>
      <c r="L135" s="27" t="s">
        <v>41</v>
      </c>
      <c r="M135" s="2" t="s">
        <v>41</v>
      </c>
      <c r="N135" s="2" t="s">
        <v>41</v>
      </c>
      <c r="O135" s="2" t="s">
        <v>41</v>
      </c>
      <c r="P135" s="2" t="s">
        <v>41</v>
      </c>
      <c r="Q135" s="2" t="s">
        <v>41</v>
      </c>
      <c r="R135" s="2" t="s">
        <v>41</v>
      </c>
      <c r="S135" s="2" t="s">
        <v>41</v>
      </c>
      <c r="T135" s="2" t="s">
        <v>41</v>
      </c>
      <c r="U135" s="2" t="s">
        <v>41</v>
      </c>
      <c r="V135" s="2" t="s">
        <v>41</v>
      </c>
      <c r="W135" s="29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  <c r="AD135" s="2" t="s">
        <v>41</v>
      </c>
      <c r="AE135" s="1" t="s">
        <v>35</v>
      </c>
      <c r="AF135" s="26" t="s">
        <v>35</v>
      </c>
      <c r="AG135" s="1" t="s">
        <v>35</v>
      </c>
      <c r="AH135" s="28" t="s">
        <v>35</v>
      </c>
      <c r="AI135" s="31" t="s">
        <v>264</v>
      </c>
      <c r="AJ135" s="40">
        <v>0</v>
      </c>
    </row>
    <row r="136" spans="1:36" ht="45" x14ac:dyDescent="0.25">
      <c r="A136" t="s">
        <v>213</v>
      </c>
      <c r="B136" s="34" t="s">
        <v>262</v>
      </c>
      <c r="C136" s="34" t="s">
        <v>265</v>
      </c>
      <c r="D136" s="32" t="str">
        <f t="shared" si="2"/>
        <v>#Light motor vehicle repair and maintenance shops#</v>
      </c>
      <c r="E136" s="37" t="s">
        <v>465</v>
      </c>
      <c r="F136" s="37"/>
      <c r="G136" s="37"/>
      <c r="H136" s="37"/>
      <c r="I136" s="37"/>
      <c r="J136" s="37"/>
      <c r="K136" s="44" t="s">
        <v>521</v>
      </c>
      <c r="L136" s="27" t="s">
        <v>41</v>
      </c>
      <c r="M136" s="2" t="s">
        <v>41</v>
      </c>
      <c r="N136" s="2" t="s">
        <v>41</v>
      </c>
      <c r="O136" s="2" t="s">
        <v>41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41</v>
      </c>
      <c r="U136" s="2" t="s">
        <v>41</v>
      </c>
      <c r="V136" s="2" t="s">
        <v>41</v>
      </c>
      <c r="W136" s="29" t="s">
        <v>41</v>
      </c>
      <c r="X136" s="2" t="s">
        <v>41</v>
      </c>
      <c r="Y136" s="1" t="s">
        <v>47</v>
      </c>
      <c r="Z136" s="2" t="s">
        <v>41</v>
      </c>
      <c r="AA136" s="1" t="s">
        <v>47</v>
      </c>
      <c r="AB136" s="1" t="s">
        <v>47</v>
      </c>
      <c r="AC136" s="1" t="s">
        <v>47</v>
      </c>
      <c r="AD136" s="1" t="s">
        <v>47</v>
      </c>
      <c r="AE136" s="1" t="s">
        <v>35</v>
      </c>
      <c r="AF136" s="26" t="s">
        <v>35</v>
      </c>
      <c r="AG136" s="1" t="s">
        <v>35</v>
      </c>
      <c r="AH136" s="28" t="s">
        <v>35</v>
      </c>
      <c r="AI136" s="28" t="s">
        <v>175</v>
      </c>
      <c r="AJ136" s="40">
        <v>0</v>
      </c>
    </row>
    <row r="137" spans="1:36" ht="33" x14ac:dyDescent="0.25">
      <c r="A137" t="s">
        <v>213</v>
      </c>
      <c r="B137" s="34" t="s">
        <v>262</v>
      </c>
      <c r="C137" s="34" t="s">
        <v>266</v>
      </c>
      <c r="D137" s="32" t="str">
        <f t="shared" si="2"/>
        <v>Car washes (811192)</v>
      </c>
      <c r="E137" s="37" t="str" cm="1">
        <f t="array" aca="1" ref="E137" ca="1">MID(C137,FIND("(",C137,LOOKUP(2,1/(MID(C137,ROW(INDIRECT("1:"&amp;LEN(C137))),1)="("),ROW(INDIRECT("1:"&amp;LEN(C137)))))+1,FIND(")",C137,LOOKUP(2,1/(MID(C137,ROW(INDIRECT("1:"&amp;LEN(C137))),1)="("),ROW(INDIRECT("1:"&amp;LEN(C137)))))-FIND("(",C137,LOOKUP(2,1/(MID(C137,ROW(INDIRECT("1:"&amp;LEN(C137))),1)="("),ROW(INDIRECT("1:"&amp;LEN(C137)))))-1)</f>
        <v>811192</v>
      </c>
      <c r="F137" s="37"/>
      <c r="G137" s="37"/>
      <c r="H137" s="37"/>
      <c r="I137" s="37"/>
      <c r="J137" s="37"/>
      <c r="K137" s="37"/>
      <c r="L137" s="27" t="s">
        <v>41</v>
      </c>
      <c r="M137" s="2" t="s">
        <v>41</v>
      </c>
      <c r="N137" s="2" t="s">
        <v>41</v>
      </c>
      <c r="O137" s="2" t="s">
        <v>41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9" t="s">
        <v>41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  <c r="AD137" s="2" t="s">
        <v>41</v>
      </c>
      <c r="AE137" s="1" t="s">
        <v>35</v>
      </c>
      <c r="AF137" s="26" t="s">
        <v>35</v>
      </c>
      <c r="AG137" s="1" t="s">
        <v>35</v>
      </c>
      <c r="AH137" s="28" t="s">
        <v>35</v>
      </c>
      <c r="AI137" s="29" t="s">
        <v>43</v>
      </c>
      <c r="AJ137" s="40">
        <v>1</v>
      </c>
    </row>
    <row r="138" spans="1:36" ht="33" x14ac:dyDescent="0.25">
      <c r="A138" t="s">
        <v>213</v>
      </c>
      <c r="B138" s="34" t="s">
        <v>262</v>
      </c>
      <c r="C138" s="34" t="s">
        <v>267</v>
      </c>
      <c r="D138" s="32" t="str">
        <f t="shared" si="2"/>
        <v>Electronic and precision equipment repair and maintenance (8112)</v>
      </c>
      <c r="E138" s="37" t="str" cm="1">
        <f t="array" aca="1" ref="E138" ca="1">MID(C138,FIND("(",C138,LOOKUP(2,1/(MID(C138,ROW(INDIRECT("1:"&amp;LEN(C138))),1)="("),ROW(INDIRECT("1:"&amp;LEN(C138)))))+1,FIND(")",C138,LOOKUP(2,1/(MID(C138,ROW(INDIRECT("1:"&amp;LEN(C138))),1)="("),ROW(INDIRECT("1:"&amp;LEN(C138)))))-FIND("(",C138,LOOKUP(2,1/(MID(C138,ROW(INDIRECT("1:"&amp;LEN(C138))),1)="("),ROW(INDIRECT("1:"&amp;LEN(C138)))))-1)</f>
        <v>8112</v>
      </c>
      <c r="F138" s="37"/>
      <c r="G138" s="37"/>
      <c r="H138" s="37"/>
      <c r="I138" s="37"/>
      <c r="J138" s="37"/>
      <c r="K138" s="37"/>
      <c r="L138" s="27" t="s">
        <v>41</v>
      </c>
      <c r="M138" s="2" t="s">
        <v>41</v>
      </c>
      <c r="N138" s="2" t="s">
        <v>41</v>
      </c>
      <c r="O138" s="2" t="s">
        <v>41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41</v>
      </c>
      <c r="U138" s="2" t="s">
        <v>41</v>
      </c>
      <c r="V138" s="2" t="s">
        <v>41</v>
      </c>
      <c r="W138" s="29" t="s">
        <v>41</v>
      </c>
      <c r="X138" s="1" t="s">
        <v>81</v>
      </c>
      <c r="Y138" s="1" t="s">
        <v>42</v>
      </c>
      <c r="Z138" s="2" t="s">
        <v>41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26" t="s">
        <v>42</v>
      </c>
      <c r="AG138" s="1" t="s">
        <v>42</v>
      </c>
      <c r="AH138" s="28" t="s">
        <v>42</v>
      </c>
      <c r="AI138" s="28" t="s">
        <v>175</v>
      </c>
      <c r="AJ138" s="40">
        <v>1</v>
      </c>
    </row>
    <row r="139" spans="1:36" ht="33" x14ac:dyDescent="0.25">
      <c r="A139" t="s">
        <v>213</v>
      </c>
      <c r="B139" s="34" t="s">
        <v>262</v>
      </c>
      <c r="C139" s="34" t="s">
        <v>268</v>
      </c>
      <c r="D139" s="32" t="str">
        <f t="shared" si="2"/>
        <v>Commercial and industrial machinery and equipment repair and maintenance (8113)</v>
      </c>
      <c r="E139" s="37" t="str" cm="1">
        <f t="array" aca="1" ref="E139" ca="1">MID(C139,FIND("(",C139,LOOKUP(2,1/(MID(C139,ROW(INDIRECT("1:"&amp;LEN(C139))),1)="("),ROW(INDIRECT("1:"&amp;LEN(C139)))))+1,FIND(")",C139,LOOKUP(2,1/(MID(C139,ROW(INDIRECT("1:"&amp;LEN(C139))),1)="("),ROW(INDIRECT("1:"&amp;LEN(C139)))))-FIND("(",C139,LOOKUP(2,1/(MID(C139,ROW(INDIRECT("1:"&amp;LEN(C139))),1)="("),ROW(INDIRECT("1:"&amp;LEN(C139)))))-1)</f>
        <v>8113</v>
      </c>
      <c r="F139" s="37"/>
      <c r="G139" s="37"/>
      <c r="H139" s="37"/>
      <c r="I139" s="37"/>
      <c r="J139" s="37"/>
      <c r="K139" s="37"/>
      <c r="L139" s="27" t="s">
        <v>41</v>
      </c>
      <c r="M139" s="2" t="s">
        <v>41</v>
      </c>
      <c r="N139" s="2" t="s">
        <v>41</v>
      </c>
      <c r="O139" s="2" t="s">
        <v>41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41</v>
      </c>
      <c r="U139" s="2" t="s">
        <v>41</v>
      </c>
      <c r="V139" s="2" t="s">
        <v>41</v>
      </c>
      <c r="W139" s="29" t="s">
        <v>41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  <c r="AD139" s="2" t="s">
        <v>41</v>
      </c>
      <c r="AE139" s="1" t="s">
        <v>35</v>
      </c>
      <c r="AF139" s="26" t="s">
        <v>35</v>
      </c>
      <c r="AG139" s="1" t="s">
        <v>35</v>
      </c>
      <c r="AH139" s="28" t="s">
        <v>35</v>
      </c>
      <c r="AI139" s="28" t="s">
        <v>175</v>
      </c>
      <c r="AJ139" s="40">
        <v>1</v>
      </c>
    </row>
    <row r="140" spans="1:36" ht="45" x14ac:dyDescent="0.25">
      <c r="A140" t="s">
        <v>213</v>
      </c>
      <c r="B140" s="34" t="s">
        <v>262</v>
      </c>
      <c r="C140" s="34" t="s">
        <v>269</v>
      </c>
      <c r="D140" s="32" t="str">
        <f t="shared" si="2"/>
        <v>Bicycle repair</v>
      </c>
      <c r="E140" s="37" t="s">
        <v>470</v>
      </c>
      <c r="F140" s="37" t="s">
        <v>435</v>
      </c>
      <c r="G140" s="37" t="s">
        <v>490</v>
      </c>
      <c r="H140" s="41"/>
      <c r="I140" s="42"/>
      <c r="J140" s="37"/>
      <c r="K140" s="37"/>
      <c r="L140" s="27" t="s">
        <v>41</v>
      </c>
      <c r="M140" s="2" t="s">
        <v>41</v>
      </c>
      <c r="N140" s="2" t="s">
        <v>41</v>
      </c>
      <c r="O140" s="2" t="s">
        <v>41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41</v>
      </c>
      <c r="U140" s="2" t="s">
        <v>41</v>
      </c>
      <c r="V140" s="2" t="s">
        <v>41</v>
      </c>
      <c r="W140" s="29" t="s">
        <v>41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26" t="s">
        <v>42</v>
      </c>
      <c r="AG140" s="1" t="s">
        <v>42</v>
      </c>
      <c r="AH140" s="28" t="s">
        <v>42</v>
      </c>
      <c r="AI140" s="28" t="s">
        <v>175</v>
      </c>
      <c r="AJ140" s="40">
        <v>4</v>
      </c>
    </row>
    <row r="141" spans="1:36" ht="150" x14ac:dyDescent="0.25">
      <c r="A141" t="s">
        <v>213</v>
      </c>
      <c r="B141" s="34" t="s">
        <v>262</v>
      </c>
      <c r="C141" s="34" t="s">
        <v>270</v>
      </c>
      <c r="D141" s="32" t="str">
        <f t="shared" si="2"/>
        <v xml:space="preserve">Recreational boat repair </v>
      </c>
      <c r="E141" s="37" t="s">
        <v>470</v>
      </c>
      <c r="F141" s="37" t="s">
        <v>456</v>
      </c>
      <c r="G141" s="37" t="s">
        <v>491</v>
      </c>
      <c r="H141" s="41"/>
      <c r="I141" s="42"/>
      <c r="J141" s="37"/>
      <c r="K141" s="37"/>
      <c r="L141" s="27" t="s">
        <v>41</v>
      </c>
      <c r="M141" s="2" t="s">
        <v>41</v>
      </c>
      <c r="N141" s="2" t="s">
        <v>41</v>
      </c>
      <c r="O141" s="2" t="s">
        <v>41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9" t="s">
        <v>41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26" t="s">
        <v>37</v>
      </c>
      <c r="AG141" s="1" t="s">
        <v>37</v>
      </c>
      <c r="AH141" s="28" t="s">
        <v>37</v>
      </c>
      <c r="AI141" s="31" t="s">
        <v>264</v>
      </c>
      <c r="AJ141" s="40">
        <v>4</v>
      </c>
    </row>
    <row r="142" spans="1:36" ht="45" x14ac:dyDescent="0.25">
      <c r="A142" t="s">
        <v>213</v>
      </c>
      <c r="B142" s="34" t="s">
        <v>262</v>
      </c>
      <c r="C142" s="34" t="s">
        <v>271</v>
      </c>
      <c r="D142" s="32" t="str">
        <f t="shared" si="2"/>
        <v>Home and garden equipment and appliance repair and maintenance (81141)</v>
      </c>
      <c r="E142" s="37" t="str" cm="1">
        <f t="array" aca="1" ref="E142" ca="1">MID(C142,FIND("(",C142,LOOKUP(2,1/(MID(C142,ROW(INDIRECT("1:"&amp;LEN(C142))),1)="("),ROW(INDIRECT("1:"&amp;LEN(C142)))))+1,FIND(")",C142,LOOKUP(2,1/(MID(C142,ROW(INDIRECT("1:"&amp;LEN(C142))),1)="("),ROW(INDIRECT("1:"&amp;LEN(C142)))))-FIND("(",C142,LOOKUP(2,1/(MID(C142,ROW(INDIRECT("1:"&amp;LEN(C142))),1)="("),ROW(INDIRECT("1:"&amp;LEN(C142)))))-1)</f>
        <v>81141</v>
      </c>
      <c r="F142" s="37"/>
      <c r="G142" s="37"/>
      <c r="H142" s="37"/>
      <c r="I142" s="37"/>
      <c r="J142" s="37"/>
      <c r="K142" s="37"/>
      <c r="L142" s="27" t="s">
        <v>41</v>
      </c>
      <c r="M142" s="2" t="s">
        <v>41</v>
      </c>
      <c r="N142" s="2" t="s">
        <v>41</v>
      </c>
      <c r="O142" s="2" t="s">
        <v>41</v>
      </c>
      <c r="P142" s="2" t="s">
        <v>41</v>
      </c>
      <c r="Q142" s="2" t="s">
        <v>41</v>
      </c>
      <c r="R142" s="2" t="s">
        <v>41</v>
      </c>
      <c r="S142" s="2" t="s">
        <v>41</v>
      </c>
      <c r="T142" s="2" t="s">
        <v>41</v>
      </c>
      <c r="U142" s="2" t="s">
        <v>41</v>
      </c>
      <c r="V142" s="2" t="s">
        <v>41</v>
      </c>
      <c r="W142" s="29" t="s">
        <v>41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  <c r="AD142" s="2" t="s">
        <v>41</v>
      </c>
      <c r="AE142" s="1" t="s">
        <v>35</v>
      </c>
      <c r="AF142" s="26" t="s">
        <v>35</v>
      </c>
      <c r="AG142" s="1" t="s">
        <v>35</v>
      </c>
      <c r="AH142" s="28" t="s">
        <v>35</v>
      </c>
      <c r="AI142" s="28" t="s">
        <v>175</v>
      </c>
      <c r="AJ142" s="40">
        <v>1</v>
      </c>
    </row>
    <row r="143" spans="1:36" ht="90" x14ac:dyDescent="0.25">
      <c r="A143" t="s">
        <v>213</v>
      </c>
      <c r="B143" s="34" t="s">
        <v>262</v>
      </c>
      <c r="C143" s="34" t="s">
        <v>272</v>
      </c>
      <c r="D143" s="32" t="str">
        <f t="shared" si="2"/>
        <v>All other personal and household goods repair and maintenance (in 8114)</v>
      </c>
      <c r="E143" s="37" t="str" cm="1">
        <f t="array" aca="1" ref="E143" ca="1">MID(C143,FIND("(",C143,LOOKUP(2,1/(MID(C143,ROW(INDIRECT("1:"&amp;LEN(C143))),1)="("),ROW(INDIRECT("1:"&amp;LEN(C143)))))+1,FIND(")",C143,LOOKUP(2,1/(MID(C143,ROW(INDIRECT("1:"&amp;LEN(C143))),1)="("),ROW(INDIRECT("1:"&amp;LEN(C143)))))-FIND("(",C143,LOOKUP(2,1/(MID(C143,ROW(INDIRECT("1:"&amp;LEN(C143))),1)="("),ROW(INDIRECT("1:"&amp;LEN(C143)))))-1)</f>
        <v>in 8114</v>
      </c>
      <c r="F143" s="37" t="s">
        <v>482</v>
      </c>
      <c r="G143" s="37"/>
      <c r="H143" s="37"/>
      <c r="I143" s="37" t="s">
        <v>483</v>
      </c>
      <c r="J143" s="37" t="s">
        <v>455</v>
      </c>
      <c r="K143" s="37"/>
      <c r="L143" s="27" t="s">
        <v>41</v>
      </c>
      <c r="M143" s="2" t="s">
        <v>41</v>
      </c>
      <c r="N143" s="2" t="s">
        <v>41</v>
      </c>
      <c r="O143" s="2" t="s">
        <v>41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2" t="s">
        <v>41</v>
      </c>
      <c r="W143" s="29" t="s">
        <v>41</v>
      </c>
      <c r="X143" s="3" t="s">
        <v>107</v>
      </c>
      <c r="Y143" s="3" t="s">
        <v>107</v>
      </c>
      <c r="Z143" s="2" t="s">
        <v>41</v>
      </c>
      <c r="AA143" s="3" t="s">
        <v>107</v>
      </c>
      <c r="AB143" s="3" t="s">
        <v>107</v>
      </c>
      <c r="AC143" s="3" t="s">
        <v>107</v>
      </c>
      <c r="AD143" s="3" t="s">
        <v>107</v>
      </c>
      <c r="AE143" s="3" t="s">
        <v>107</v>
      </c>
      <c r="AF143" s="30" t="s">
        <v>107</v>
      </c>
      <c r="AG143" s="3" t="s">
        <v>107</v>
      </c>
      <c r="AH143" s="31" t="s">
        <v>107</v>
      </c>
      <c r="AI143" s="28" t="s">
        <v>175</v>
      </c>
      <c r="AJ143" s="40">
        <v>4</v>
      </c>
    </row>
    <row r="144" spans="1:36" ht="360" x14ac:dyDescent="0.25">
      <c r="A144" t="s">
        <v>213</v>
      </c>
      <c r="B144" s="34" t="s">
        <v>273</v>
      </c>
      <c r="C144" s="34" t="s">
        <v>274</v>
      </c>
      <c r="D144" s="32" t="str">
        <f t="shared" si="2"/>
        <v>#Health and fitness establishments#</v>
      </c>
      <c r="E144" s="38" t="s">
        <v>489</v>
      </c>
      <c r="F144" s="38" t="s">
        <v>489</v>
      </c>
      <c r="G144" s="38" t="s">
        <v>488</v>
      </c>
      <c r="H144" s="38" t="s">
        <v>487</v>
      </c>
      <c r="I144" s="37"/>
      <c r="J144" s="37"/>
      <c r="K144" s="44" t="s">
        <v>523</v>
      </c>
      <c r="L144" s="27" t="s">
        <v>41</v>
      </c>
      <c r="M144" s="2" t="s">
        <v>41</v>
      </c>
      <c r="N144" s="2" t="s">
        <v>41</v>
      </c>
      <c r="O144" s="2" t="s">
        <v>41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9" t="s">
        <v>41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137</v>
      </c>
      <c r="AF144" s="26" t="s">
        <v>137</v>
      </c>
      <c r="AG144" s="1" t="s">
        <v>137</v>
      </c>
      <c r="AH144" s="28" t="s">
        <v>137</v>
      </c>
      <c r="AI144" s="31" t="s">
        <v>275</v>
      </c>
      <c r="AJ144" s="40">
        <v>4</v>
      </c>
    </row>
    <row r="145" spans="1:36" ht="75" x14ac:dyDescent="0.25">
      <c r="A145" t="s">
        <v>213</v>
      </c>
      <c r="B145" s="34" t="s">
        <v>273</v>
      </c>
      <c r="C145" s="34" t="s">
        <v>276</v>
      </c>
      <c r="D145" s="32" t="str">
        <f t="shared" si="2"/>
        <v>All other personal care services (in 8121)</v>
      </c>
      <c r="E145" s="37" t="str" cm="1">
        <f t="array" aca="1" ref="E145" ca="1">MID(C145,FIND("(",C145,LOOKUP(2,1/(MID(C145,ROW(INDIRECT("1:"&amp;LEN(C145))),1)="("),ROW(INDIRECT("1:"&amp;LEN(C145)))))+1,FIND(")",C145,LOOKUP(2,1/(MID(C145,ROW(INDIRECT("1:"&amp;LEN(C145))),1)="("),ROW(INDIRECT("1:"&amp;LEN(C145)))))-FIND("(",C145,LOOKUP(2,1/(MID(C145,ROW(INDIRECT("1:"&amp;LEN(C145))),1)="("),ROW(INDIRECT("1:"&amp;LEN(C145)))))-1)</f>
        <v>in 8121</v>
      </c>
      <c r="F145" s="37" t="s">
        <v>479</v>
      </c>
      <c r="G145" s="37"/>
      <c r="H145" s="37" t="s">
        <v>480</v>
      </c>
      <c r="I145" s="42"/>
      <c r="J145" s="37" t="s">
        <v>461</v>
      </c>
      <c r="K145" s="37"/>
      <c r="L145" s="27" t="s">
        <v>41</v>
      </c>
      <c r="M145" s="2" t="s">
        <v>41</v>
      </c>
      <c r="N145" s="2" t="s">
        <v>41</v>
      </c>
      <c r="O145" s="2" t="s">
        <v>41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41</v>
      </c>
      <c r="U145" s="2" t="s">
        <v>41</v>
      </c>
      <c r="V145" s="2" t="s">
        <v>41</v>
      </c>
      <c r="W145" s="29" t="s">
        <v>41</v>
      </c>
      <c r="X145" s="3" t="s">
        <v>107</v>
      </c>
      <c r="Y145" s="3" t="s">
        <v>107</v>
      </c>
      <c r="Z145" s="2" t="s">
        <v>41</v>
      </c>
      <c r="AA145" s="3" t="s">
        <v>107</v>
      </c>
      <c r="AB145" s="3" t="s">
        <v>107</v>
      </c>
      <c r="AC145" s="3" t="s">
        <v>107</v>
      </c>
      <c r="AD145" s="3" t="s">
        <v>107</v>
      </c>
      <c r="AE145" s="3" t="s">
        <v>107</v>
      </c>
      <c r="AF145" s="30" t="s">
        <v>107</v>
      </c>
      <c r="AG145" s="3" t="s">
        <v>107</v>
      </c>
      <c r="AH145" s="31" t="s">
        <v>107</v>
      </c>
      <c r="AI145" s="31" t="s">
        <v>275</v>
      </c>
      <c r="AJ145" s="40">
        <v>4</v>
      </c>
    </row>
    <row r="146" spans="1:36" ht="30" x14ac:dyDescent="0.25">
      <c r="A146" t="s">
        <v>213</v>
      </c>
      <c r="B146" s="34" t="s">
        <v>273</v>
      </c>
      <c r="C146" s="5" t="s">
        <v>277</v>
      </c>
      <c r="D146" s="32" t="str">
        <f t="shared" si="2"/>
        <v>Funeral homes and funeral services (81221)</v>
      </c>
      <c r="E146" s="37" t="s">
        <v>478</v>
      </c>
      <c r="F146" s="37" t="s">
        <v>278</v>
      </c>
      <c r="G146" s="37"/>
      <c r="H146" s="37"/>
      <c r="I146" s="37"/>
      <c r="J146" s="37" t="s">
        <v>452</v>
      </c>
      <c r="K146" s="37"/>
      <c r="L146" s="27" t="s">
        <v>41</v>
      </c>
      <c r="M146" s="2" t="s">
        <v>41</v>
      </c>
      <c r="N146" s="2" t="s">
        <v>41</v>
      </c>
      <c r="O146" s="2" t="s">
        <v>41</v>
      </c>
      <c r="P146" s="2" t="s">
        <v>41</v>
      </c>
      <c r="Q146" s="2" t="s">
        <v>41</v>
      </c>
      <c r="R146" s="2" t="s">
        <v>41</v>
      </c>
      <c r="S146" s="2" t="s">
        <v>41</v>
      </c>
      <c r="T146" s="2" t="s">
        <v>41</v>
      </c>
      <c r="U146" s="2" t="s">
        <v>41</v>
      </c>
      <c r="V146" s="2" t="s">
        <v>41</v>
      </c>
      <c r="W146" s="29" t="s">
        <v>41</v>
      </c>
      <c r="X146" s="3" t="s">
        <v>107</v>
      </c>
      <c r="Y146" s="3" t="s">
        <v>107</v>
      </c>
      <c r="Z146" s="2" t="s">
        <v>41</v>
      </c>
      <c r="AA146" s="3" t="s">
        <v>107</v>
      </c>
      <c r="AB146" s="3" t="s">
        <v>107</v>
      </c>
      <c r="AC146" s="3" t="s">
        <v>107</v>
      </c>
      <c r="AD146" s="3" t="s">
        <v>107</v>
      </c>
      <c r="AE146" s="3" t="s">
        <v>107</v>
      </c>
      <c r="AF146" s="30" t="s">
        <v>107</v>
      </c>
      <c r="AG146" s="3" t="s">
        <v>107</v>
      </c>
      <c r="AH146" s="31" t="s">
        <v>107</v>
      </c>
      <c r="AI146" s="28" t="s">
        <v>112</v>
      </c>
      <c r="AJ146" s="40">
        <v>4</v>
      </c>
    </row>
    <row r="147" spans="1:36" ht="45" x14ac:dyDescent="0.25">
      <c r="A147" t="s">
        <v>213</v>
      </c>
      <c r="B147" s="34" t="s">
        <v>273</v>
      </c>
      <c r="C147" s="5" t="s">
        <v>279</v>
      </c>
      <c r="D147" s="32" t="str">
        <f t="shared" si="2"/>
        <v>Crematoriums</v>
      </c>
      <c r="E147" s="37" t="s">
        <v>467</v>
      </c>
      <c r="F147" s="37" t="s">
        <v>457</v>
      </c>
      <c r="G147" s="37" t="s">
        <v>492</v>
      </c>
      <c r="H147" s="37"/>
      <c r="I147" s="37"/>
      <c r="J147" s="37"/>
      <c r="K147" s="37"/>
      <c r="L147" s="27" t="s">
        <v>41</v>
      </c>
      <c r="M147" s="2" t="s">
        <v>41</v>
      </c>
      <c r="N147" s="2" t="s">
        <v>41</v>
      </c>
      <c r="O147" s="2" t="s">
        <v>41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41</v>
      </c>
      <c r="U147" s="2" t="s">
        <v>41</v>
      </c>
      <c r="V147" s="2" t="s">
        <v>41</v>
      </c>
      <c r="W147" s="29" t="s">
        <v>41</v>
      </c>
      <c r="X147" s="2" t="s">
        <v>41</v>
      </c>
      <c r="Y147" s="2" t="s">
        <v>41</v>
      </c>
      <c r="Z147" s="2" t="s">
        <v>41</v>
      </c>
      <c r="AA147" s="2" t="s">
        <v>41</v>
      </c>
      <c r="AB147" s="2" t="s">
        <v>41</v>
      </c>
      <c r="AC147" s="2" t="s">
        <v>41</v>
      </c>
      <c r="AD147" s="2" t="s">
        <v>41</v>
      </c>
      <c r="AE147" s="1" t="s">
        <v>35</v>
      </c>
      <c r="AF147" s="26" t="s">
        <v>35</v>
      </c>
      <c r="AG147" s="1" t="s">
        <v>35</v>
      </c>
      <c r="AH147" s="28" t="s">
        <v>35</v>
      </c>
      <c r="AI147" s="31" t="s">
        <v>264</v>
      </c>
      <c r="AJ147" s="40">
        <v>4</v>
      </c>
    </row>
    <row r="148" spans="1:36" ht="30" x14ac:dyDescent="0.25">
      <c r="A148" t="s">
        <v>213</v>
      </c>
      <c r="B148" s="34" t="s">
        <v>273</v>
      </c>
      <c r="C148" s="5" t="s">
        <v>280</v>
      </c>
      <c r="D148" s="32" t="str">
        <f t="shared" si="2"/>
        <v>Personal laundry services</v>
      </c>
      <c r="E148" s="37" t="s">
        <v>465</v>
      </c>
      <c r="F148" s="37"/>
      <c r="G148" s="37"/>
      <c r="H148" s="37" t="s">
        <v>464</v>
      </c>
      <c r="I148" s="41"/>
      <c r="J148" s="41"/>
      <c r="K148" s="37" t="s">
        <v>502</v>
      </c>
      <c r="L148" s="27" t="s">
        <v>41</v>
      </c>
      <c r="M148" s="2" t="s">
        <v>41</v>
      </c>
      <c r="N148" s="2" t="s">
        <v>41</v>
      </c>
      <c r="O148" s="2" t="s">
        <v>41</v>
      </c>
      <c r="P148" s="2" t="s">
        <v>41</v>
      </c>
      <c r="Q148" s="2" t="s">
        <v>41</v>
      </c>
      <c r="R148" s="2" t="s">
        <v>41</v>
      </c>
      <c r="S148" s="2" t="s">
        <v>41</v>
      </c>
      <c r="T148" s="2" t="s">
        <v>41</v>
      </c>
      <c r="U148" s="2" t="s">
        <v>41</v>
      </c>
      <c r="V148" s="2" t="s">
        <v>41</v>
      </c>
      <c r="W148" s="29" t="s">
        <v>41</v>
      </c>
      <c r="X148" s="3" t="s">
        <v>107</v>
      </c>
      <c r="Y148" s="3" t="s">
        <v>107</v>
      </c>
      <c r="Z148" s="2" t="s">
        <v>41</v>
      </c>
      <c r="AA148" s="3" t="s">
        <v>107</v>
      </c>
      <c r="AB148" s="3" t="s">
        <v>107</v>
      </c>
      <c r="AC148" s="3" t="s">
        <v>107</v>
      </c>
      <c r="AD148" s="3" t="s">
        <v>107</v>
      </c>
      <c r="AE148" s="3" t="s">
        <v>107</v>
      </c>
      <c r="AF148" s="30" t="s">
        <v>107</v>
      </c>
      <c r="AG148" s="3" t="s">
        <v>107</v>
      </c>
      <c r="AH148" s="31" t="s">
        <v>107</v>
      </c>
      <c r="AI148" s="31" t="s">
        <v>275</v>
      </c>
      <c r="AJ148" s="40">
        <v>0</v>
      </c>
    </row>
    <row r="149" spans="1:36" ht="33" x14ac:dyDescent="0.25">
      <c r="A149" t="s">
        <v>213</v>
      </c>
      <c r="B149" s="34" t="s">
        <v>273</v>
      </c>
      <c r="C149" s="5" t="s">
        <v>281</v>
      </c>
      <c r="D149" s="32" t="str">
        <f t="shared" si="2"/>
        <v>Personal dry cleaning services</v>
      </c>
      <c r="E149" s="37" t="s">
        <v>465</v>
      </c>
      <c r="F149" s="37"/>
      <c r="G149" s="37"/>
      <c r="H149" s="37" t="s">
        <v>464</v>
      </c>
      <c r="I149" s="41"/>
      <c r="J149" s="41"/>
      <c r="K149" s="37" t="s">
        <v>502</v>
      </c>
      <c r="L149" s="27" t="s">
        <v>41</v>
      </c>
      <c r="M149" s="2" t="s">
        <v>41</v>
      </c>
      <c r="N149" s="2" t="s">
        <v>41</v>
      </c>
      <c r="O149" s="2" t="s">
        <v>41</v>
      </c>
      <c r="P149" s="2" t="s">
        <v>41</v>
      </c>
      <c r="Q149" s="2" t="s">
        <v>41</v>
      </c>
      <c r="R149" s="2" t="s">
        <v>41</v>
      </c>
      <c r="S149" s="2" t="s">
        <v>41</v>
      </c>
      <c r="T149" s="2" t="s">
        <v>41</v>
      </c>
      <c r="U149" s="2" t="s">
        <v>41</v>
      </c>
      <c r="V149" s="2" t="s">
        <v>41</v>
      </c>
      <c r="W149" s="29" t="s">
        <v>41</v>
      </c>
      <c r="X149" s="1" t="s">
        <v>91</v>
      </c>
      <c r="Y149" s="1" t="s">
        <v>91</v>
      </c>
      <c r="Z149" s="2" t="s">
        <v>41</v>
      </c>
      <c r="AA149" s="1" t="s">
        <v>91</v>
      </c>
      <c r="AB149" s="1" t="s">
        <v>91</v>
      </c>
      <c r="AC149" s="1" t="s">
        <v>91</v>
      </c>
      <c r="AD149" s="1" t="s">
        <v>91</v>
      </c>
      <c r="AE149" s="1" t="s">
        <v>35</v>
      </c>
      <c r="AF149" s="26" t="s">
        <v>35</v>
      </c>
      <c r="AG149" s="1" t="s">
        <v>35</v>
      </c>
      <c r="AH149" s="28" t="s">
        <v>35</v>
      </c>
      <c r="AI149" s="31" t="s">
        <v>275</v>
      </c>
      <c r="AJ149" s="40">
        <v>0</v>
      </c>
    </row>
    <row r="150" spans="1:36" ht="60" x14ac:dyDescent="0.25">
      <c r="A150" t="s">
        <v>213</v>
      </c>
      <c r="B150" s="34" t="s">
        <v>273</v>
      </c>
      <c r="C150" s="5" t="s">
        <v>282</v>
      </c>
      <c r="D150" s="32" t="str">
        <f t="shared" si="2"/>
        <v>Industrial dry cleaning and laundry services</v>
      </c>
      <c r="E150" s="37" t="s">
        <v>468</v>
      </c>
      <c r="F150" s="37" t="s">
        <v>458</v>
      </c>
      <c r="G150" s="37" t="s">
        <v>493</v>
      </c>
      <c r="H150" s="37"/>
      <c r="I150" s="37"/>
      <c r="J150" s="37"/>
      <c r="K150" s="37"/>
      <c r="L150" s="27" t="s">
        <v>41</v>
      </c>
      <c r="M150" s="2" t="s">
        <v>41</v>
      </c>
      <c r="N150" s="2" t="s">
        <v>41</v>
      </c>
      <c r="O150" s="2" t="s">
        <v>41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41</v>
      </c>
      <c r="U150" s="2" t="s">
        <v>41</v>
      </c>
      <c r="V150" s="2" t="s">
        <v>41</v>
      </c>
      <c r="W150" s="29" t="s">
        <v>41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41</v>
      </c>
      <c r="AC150" s="2" t="s">
        <v>41</v>
      </c>
      <c r="AD150" s="2" t="s">
        <v>41</v>
      </c>
      <c r="AE150" s="1" t="s">
        <v>35</v>
      </c>
      <c r="AF150" s="26" t="s">
        <v>35</v>
      </c>
      <c r="AG150" s="1" t="s">
        <v>35</v>
      </c>
      <c r="AH150" s="28" t="s">
        <v>35</v>
      </c>
      <c r="AI150" s="28" t="s">
        <v>249</v>
      </c>
      <c r="AJ150" s="40">
        <v>4</v>
      </c>
    </row>
    <row r="151" spans="1:36" ht="33" x14ac:dyDescent="0.25">
      <c r="A151" t="s">
        <v>213</v>
      </c>
      <c r="B151" s="34" t="s">
        <v>273</v>
      </c>
      <c r="C151" s="4" t="s">
        <v>283</v>
      </c>
      <c r="D151" s="32" t="str">
        <f t="shared" si="2"/>
        <v>Pet care services (81291)</v>
      </c>
      <c r="E151" s="37" t="str" cm="1">
        <f t="array" aca="1" ref="E151" ca="1">MID(C151,FIND("(",C151,LOOKUP(2,1/(MID(C151,ROW(INDIRECT("1:"&amp;LEN(C151))),1)="("),ROW(INDIRECT("1:"&amp;LEN(C151)))))+1,FIND(")",C151,LOOKUP(2,1/(MID(C151,ROW(INDIRECT("1:"&amp;LEN(C151))),1)="("),ROW(INDIRECT("1:"&amp;LEN(C151)))))-FIND("(",C151,LOOKUP(2,1/(MID(C151,ROW(INDIRECT("1:"&amp;LEN(C151))),1)="("),ROW(INDIRECT("1:"&amp;LEN(C151)))))-1)</f>
        <v>81291</v>
      </c>
      <c r="F151" s="37"/>
      <c r="G151" s="37"/>
      <c r="H151" s="37"/>
      <c r="I151" s="37"/>
      <c r="J151" s="37"/>
      <c r="K151" s="37"/>
      <c r="L151" s="27" t="s">
        <v>41</v>
      </c>
      <c r="M151" s="2" t="s">
        <v>41</v>
      </c>
      <c r="N151" s="2" t="s">
        <v>41</v>
      </c>
      <c r="O151" s="2" t="s">
        <v>41</v>
      </c>
      <c r="P151" s="2" t="s">
        <v>41</v>
      </c>
      <c r="Q151" s="2" t="s">
        <v>41</v>
      </c>
      <c r="R151" s="2" t="s">
        <v>41</v>
      </c>
      <c r="S151" s="2" t="s">
        <v>41</v>
      </c>
      <c r="T151" s="2" t="s">
        <v>41</v>
      </c>
      <c r="U151" s="2" t="s">
        <v>41</v>
      </c>
      <c r="V151" s="2" t="s">
        <v>41</v>
      </c>
      <c r="W151" s="29" t="s">
        <v>41</v>
      </c>
      <c r="X151" s="1" t="s">
        <v>35</v>
      </c>
      <c r="Y151" s="1" t="s">
        <v>35</v>
      </c>
      <c r="Z151" s="2" t="s">
        <v>41</v>
      </c>
      <c r="AA151" s="1" t="s">
        <v>35</v>
      </c>
      <c r="AB151" s="1" t="s">
        <v>35</v>
      </c>
      <c r="AC151" s="1" t="s">
        <v>35</v>
      </c>
      <c r="AD151" s="1" t="s">
        <v>35</v>
      </c>
      <c r="AE151" s="3" t="s">
        <v>107</v>
      </c>
      <c r="AF151" s="30" t="s">
        <v>107</v>
      </c>
      <c r="AG151" s="3" t="s">
        <v>107</v>
      </c>
      <c r="AH151" s="31" t="s">
        <v>107</v>
      </c>
      <c r="AI151" s="31" t="s">
        <v>275</v>
      </c>
      <c r="AJ151" s="40">
        <v>1</v>
      </c>
    </row>
    <row r="152" spans="1:36" ht="30" x14ac:dyDescent="0.25">
      <c r="A152" t="s">
        <v>213</v>
      </c>
      <c r="B152" s="34" t="s">
        <v>273</v>
      </c>
      <c r="C152" s="32" t="s">
        <v>284</v>
      </c>
      <c r="D152" s="32" t="str">
        <f t="shared" si="2"/>
        <v>All other personal services (in 8129)</v>
      </c>
      <c r="E152" s="37" t="str" cm="1">
        <f t="array" aca="1" ref="E152" ca="1">MID(C152,FIND("(",C152,LOOKUP(2,1/(MID(C152,ROW(INDIRECT("1:"&amp;LEN(C152))),1)="("),ROW(INDIRECT("1:"&amp;LEN(C152)))))+1,FIND(")",C152,LOOKUP(2,1/(MID(C152,ROW(INDIRECT("1:"&amp;LEN(C152))),1)="("),ROW(INDIRECT("1:"&amp;LEN(C152)))))-FIND("(",C152,LOOKUP(2,1/(MID(C152,ROW(INDIRECT("1:"&amp;LEN(C152))),1)="("),ROW(INDIRECT("1:"&amp;LEN(C152)))))-1)</f>
        <v>in 8129</v>
      </c>
      <c r="F152" s="37" t="s">
        <v>285</v>
      </c>
      <c r="G152" s="37"/>
      <c r="H152" s="37"/>
      <c r="I152" s="37">
        <v>81291</v>
      </c>
      <c r="J152" s="37"/>
      <c r="K152" s="37"/>
      <c r="L152" s="27" t="s">
        <v>41</v>
      </c>
      <c r="M152" s="2" t="s">
        <v>41</v>
      </c>
      <c r="N152" s="2" t="s">
        <v>41</v>
      </c>
      <c r="O152" s="2" t="s">
        <v>41</v>
      </c>
      <c r="P152" s="2" t="s">
        <v>41</v>
      </c>
      <c r="Q152" s="2" t="s">
        <v>41</v>
      </c>
      <c r="R152" s="2" t="s">
        <v>41</v>
      </c>
      <c r="S152" s="2" t="s">
        <v>41</v>
      </c>
      <c r="T152" s="2" t="s">
        <v>41</v>
      </c>
      <c r="U152" s="2" t="s">
        <v>41</v>
      </c>
      <c r="V152" s="2" t="s">
        <v>41</v>
      </c>
      <c r="W152" s="29" t="s">
        <v>41</v>
      </c>
      <c r="X152" s="3" t="s">
        <v>107</v>
      </c>
      <c r="Y152" s="3" t="s">
        <v>107</v>
      </c>
      <c r="Z152" s="2" t="s">
        <v>41</v>
      </c>
      <c r="AA152" s="3" t="s">
        <v>107</v>
      </c>
      <c r="AB152" s="3" t="s">
        <v>107</v>
      </c>
      <c r="AC152" s="3" t="s">
        <v>107</v>
      </c>
      <c r="AD152" s="3" t="s">
        <v>107</v>
      </c>
      <c r="AE152" s="3" t="s">
        <v>107</v>
      </c>
      <c r="AF152" s="30" t="s">
        <v>107</v>
      </c>
      <c r="AG152" s="3" t="s">
        <v>107</v>
      </c>
      <c r="AH152" s="31" t="s">
        <v>107</v>
      </c>
      <c r="AI152" s="28" t="s">
        <v>175</v>
      </c>
      <c r="AJ152" s="40">
        <v>3</v>
      </c>
    </row>
    <row r="153" spans="1:36" ht="33" x14ac:dyDescent="0.25">
      <c r="A153" t="s">
        <v>286</v>
      </c>
      <c r="B153" s="34" t="s">
        <v>287</v>
      </c>
      <c r="C153" s="34" t="s">
        <v>287</v>
      </c>
      <c r="D153" s="32" t="str">
        <f t="shared" si="2"/>
        <v>Laboratories</v>
      </c>
      <c r="E153" s="37" t="e" cm="1">
        <f t="array" aca="1" ref="E153" ca="1">MID(C153,FIND("(",C153,LOOKUP(2,1/(MID(C153,ROW(INDIRECT("1:"&amp;LEN(C153))),1)="("),ROW(INDIRECT("1:"&amp;LEN(C153)))))+1,FIND(")",C153,LOOKUP(2,1/(MID(C153,ROW(INDIRECT("1:"&amp;LEN(C153))),1)="("),ROW(INDIRECT("1:"&amp;LEN(C153)))))-FIND("(",C153,LOOKUP(2,1/(MID(C153,ROW(INDIRECT("1:"&amp;LEN(C153))),1)="("),ROW(INDIRECT("1:"&amp;LEN(C153)))))-1)</f>
        <v>#N/A</v>
      </c>
      <c r="F153" s="37"/>
      <c r="G153" s="37"/>
      <c r="H153" s="37"/>
      <c r="I153" s="37"/>
      <c r="J153" s="37"/>
      <c r="K153" s="37"/>
      <c r="L153" s="26" t="s">
        <v>47</v>
      </c>
      <c r="M153" s="1" t="s">
        <v>47</v>
      </c>
      <c r="N153" s="1" t="s">
        <v>47</v>
      </c>
      <c r="O153" s="1" t="s">
        <v>47</v>
      </c>
      <c r="P153" s="1" t="s">
        <v>47</v>
      </c>
      <c r="Q153" s="1" t="s">
        <v>47</v>
      </c>
      <c r="R153" s="1" t="s">
        <v>47</v>
      </c>
      <c r="S153" s="1" t="s">
        <v>47</v>
      </c>
      <c r="T153" s="1" t="s">
        <v>47</v>
      </c>
      <c r="U153" s="1" t="s">
        <v>47</v>
      </c>
      <c r="V153" s="1" t="s">
        <v>47</v>
      </c>
      <c r="W153" s="28" t="s">
        <v>47</v>
      </c>
      <c r="X153" s="1" t="s">
        <v>157</v>
      </c>
      <c r="Y153" s="1" t="s">
        <v>35</v>
      </c>
      <c r="Z153" s="2" t="s">
        <v>41</v>
      </c>
      <c r="AA153" s="1" t="s">
        <v>35</v>
      </c>
      <c r="AB153" s="1" t="s">
        <v>35</v>
      </c>
      <c r="AC153" s="1" t="s">
        <v>35</v>
      </c>
      <c r="AD153" s="1" t="s">
        <v>35</v>
      </c>
      <c r="AE153" s="1" t="s">
        <v>35</v>
      </c>
      <c r="AF153" s="30" t="s">
        <v>107</v>
      </c>
      <c r="AG153" s="3" t="s">
        <v>107</v>
      </c>
      <c r="AH153" s="31" t="s">
        <v>107</v>
      </c>
      <c r="AI153" s="28" t="s">
        <v>92</v>
      </c>
      <c r="AJ153" s="40">
        <v>0</v>
      </c>
    </row>
    <row r="154" spans="1:36" ht="45" x14ac:dyDescent="0.25">
      <c r="A154" t="s">
        <v>286</v>
      </c>
      <c r="B154" s="34" t="s">
        <v>288</v>
      </c>
      <c r="C154" s="34" t="s">
        <v>289</v>
      </c>
      <c r="D154" s="32" t="str">
        <f t="shared" si="2"/>
        <v>Offices, business, professional including ambulatory diagnostic or treatment health care, or governmental</v>
      </c>
      <c r="E154" s="37" t="e" cm="1">
        <f t="array" aca="1" ref="E154" ca="1">MID(C154,FIND("(",C154,LOOKUP(2,1/(MID(C154,ROW(INDIRECT("1:"&amp;LEN(C154))),1)="("),ROW(INDIRECT("1:"&amp;LEN(C154)))))+1,FIND(")",C154,LOOKUP(2,1/(MID(C154,ROW(INDIRECT("1:"&amp;LEN(C154))),1)="("),ROW(INDIRECT("1:"&amp;LEN(C154)))))-FIND("(",C154,LOOKUP(2,1/(MID(C154,ROW(INDIRECT("1:"&amp;LEN(C154))),1)="("),ROW(INDIRECT("1:"&amp;LEN(C154)))))-1)</f>
        <v>#N/A</v>
      </c>
      <c r="F154" s="37"/>
      <c r="G154" s="37"/>
      <c r="H154" s="37"/>
      <c r="I154" s="37"/>
      <c r="J154" s="37"/>
      <c r="K154" s="37"/>
      <c r="L154" s="26" t="s">
        <v>47</v>
      </c>
      <c r="M154" s="1" t="s">
        <v>47</v>
      </c>
      <c r="N154" s="1" t="s">
        <v>47</v>
      </c>
      <c r="O154" s="1" t="s">
        <v>47</v>
      </c>
      <c r="P154" s="1" t="s">
        <v>47</v>
      </c>
      <c r="Q154" s="1" t="s">
        <v>47</v>
      </c>
      <c r="R154" s="1" t="s">
        <v>47</v>
      </c>
      <c r="S154" s="1" t="s">
        <v>47</v>
      </c>
      <c r="T154" s="1" t="s">
        <v>47</v>
      </c>
      <c r="U154" s="1" t="s">
        <v>47</v>
      </c>
      <c r="V154" s="1" t="s">
        <v>47</v>
      </c>
      <c r="W154" s="28" t="s">
        <v>47</v>
      </c>
      <c r="X154" s="3" t="s">
        <v>107</v>
      </c>
      <c r="Y154" s="3" t="s">
        <v>107</v>
      </c>
      <c r="Z154" s="2" t="s">
        <v>41</v>
      </c>
      <c r="AA154" s="3" t="s">
        <v>107</v>
      </c>
      <c r="AB154" s="3" t="s">
        <v>107</v>
      </c>
      <c r="AC154" s="3" t="s">
        <v>107</v>
      </c>
      <c r="AD154" s="3" t="s">
        <v>107</v>
      </c>
      <c r="AE154" s="3" t="s">
        <v>107</v>
      </c>
      <c r="AF154" s="30" t="s">
        <v>107</v>
      </c>
      <c r="AG154" s="3" t="s">
        <v>107</v>
      </c>
      <c r="AH154" s="31" t="s">
        <v>107</v>
      </c>
      <c r="AI154" s="28" t="s">
        <v>92</v>
      </c>
      <c r="AJ154" s="40">
        <v>0</v>
      </c>
    </row>
    <row r="155" spans="1:36" ht="345" x14ac:dyDescent="0.25">
      <c r="A155" t="s">
        <v>290</v>
      </c>
      <c r="B155" s="34" t="s">
        <v>291</v>
      </c>
      <c r="C155" s="34" t="s">
        <v>292</v>
      </c>
      <c r="D155" s="32" t="str">
        <f t="shared" si="2"/>
        <v>#Amusement or recreation facilities#</v>
      </c>
      <c r="E155" s="37" t="s">
        <v>476</v>
      </c>
      <c r="F155" s="37" t="s">
        <v>477</v>
      </c>
      <c r="G155" s="37"/>
      <c r="H155" s="37" t="s">
        <v>481</v>
      </c>
      <c r="I155" s="37"/>
      <c r="J155" s="37" t="s">
        <v>462</v>
      </c>
      <c r="K155" s="44" t="s">
        <v>523</v>
      </c>
      <c r="L155" s="27" t="s">
        <v>41</v>
      </c>
      <c r="M155" s="2" t="s">
        <v>41</v>
      </c>
      <c r="N155" s="2" t="s">
        <v>41</v>
      </c>
      <c r="O155" s="2" t="s">
        <v>41</v>
      </c>
      <c r="P155" s="2" t="s">
        <v>41</v>
      </c>
      <c r="Q155" s="2" t="s">
        <v>41</v>
      </c>
      <c r="R155" s="2" t="s">
        <v>41</v>
      </c>
      <c r="S155" s="2" t="s">
        <v>41</v>
      </c>
      <c r="T155" s="2" t="s">
        <v>41</v>
      </c>
      <c r="U155" s="2" t="s">
        <v>41</v>
      </c>
      <c r="V155" s="2" t="s">
        <v>41</v>
      </c>
      <c r="W155" s="29" t="s">
        <v>41</v>
      </c>
      <c r="X155" s="1" t="s">
        <v>91</v>
      </c>
      <c r="Y155" s="1" t="s">
        <v>91</v>
      </c>
      <c r="Z155" s="1" t="s">
        <v>47</v>
      </c>
      <c r="AA155" s="1" t="s">
        <v>42</v>
      </c>
      <c r="AB155" s="1" t="s">
        <v>42</v>
      </c>
      <c r="AC155" s="1" t="s">
        <v>42</v>
      </c>
      <c r="AD155" s="1" t="s">
        <v>137</v>
      </c>
      <c r="AE155" s="1" t="s">
        <v>137</v>
      </c>
      <c r="AF155" s="26" t="s">
        <v>137</v>
      </c>
      <c r="AG155" s="1" t="s">
        <v>137</v>
      </c>
      <c r="AH155" s="28" t="s">
        <v>137</v>
      </c>
      <c r="AI155" s="28" t="s">
        <v>293</v>
      </c>
      <c r="AJ155" s="40">
        <v>4</v>
      </c>
    </row>
    <row r="156" spans="1:36" ht="90" x14ac:dyDescent="0.25">
      <c r="A156" t="s">
        <v>290</v>
      </c>
      <c r="B156" s="34" t="s">
        <v>291</v>
      </c>
      <c r="C156" s="34" t="s">
        <v>294</v>
      </c>
      <c r="D156" s="32" t="str">
        <f t="shared" si="2"/>
        <v>#Select entertainment facilities#</v>
      </c>
      <c r="E156" s="37" t="s">
        <v>466</v>
      </c>
      <c r="F156" s="37" t="s">
        <v>453</v>
      </c>
      <c r="G156" s="37" t="s">
        <v>454</v>
      </c>
      <c r="H156" s="37"/>
      <c r="I156" s="37"/>
      <c r="J156" s="37"/>
      <c r="K156" s="44" t="s">
        <v>523</v>
      </c>
      <c r="L156" s="27" t="s">
        <v>41</v>
      </c>
      <c r="M156" s="2" t="s">
        <v>41</v>
      </c>
      <c r="N156" s="2" t="s">
        <v>41</v>
      </c>
      <c r="O156" s="2" t="s">
        <v>41</v>
      </c>
      <c r="P156" s="2" t="s">
        <v>41</v>
      </c>
      <c r="Q156" s="2" t="s">
        <v>41</v>
      </c>
      <c r="R156" s="2" t="s">
        <v>41</v>
      </c>
      <c r="S156" s="2" t="s">
        <v>41</v>
      </c>
      <c r="T156" s="2" t="s">
        <v>41</v>
      </c>
      <c r="U156" s="2" t="s">
        <v>41</v>
      </c>
      <c r="V156" s="2" t="s">
        <v>41</v>
      </c>
      <c r="W156" s="29" t="s">
        <v>41</v>
      </c>
      <c r="X156" s="1" t="s">
        <v>81</v>
      </c>
      <c r="Y156" s="1" t="s">
        <v>81</v>
      </c>
      <c r="Z156" s="1" t="s">
        <v>47</v>
      </c>
      <c r="AA156" s="1" t="s">
        <v>42</v>
      </c>
      <c r="AB156" s="1" t="s">
        <v>42</v>
      </c>
      <c r="AC156" s="1" t="s">
        <v>42</v>
      </c>
      <c r="AD156" s="1" t="s">
        <v>137</v>
      </c>
      <c r="AE156" s="1" t="s">
        <v>137</v>
      </c>
      <c r="AF156" s="26" t="s">
        <v>137</v>
      </c>
      <c r="AG156" s="1" t="s">
        <v>137</v>
      </c>
      <c r="AH156" s="28" t="s">
        <v>137</v>
      </c>
      <c r="AI156" s="28" t="s">
        <v>293</v>
      </c>
      <c r="AJ156" s="40">
        <v>4</v>
      </c>
    </row>
    <row r="157" spans="1:36" ht="75" x14ac:dyDescent="0.25">
      <c r="A157" t="s">
        <v>290</v>
      </c>
      <c r="B157" s="34" t="s">
        <v>291</v>
      </c>
      <c r="C157" s="34" t="s">
        <v>295</v>
      </c>
      <c r="D157" s="32" t="str">
        <f t="shared" si="2"/>
        <v>#Outdoor amusement parks#</v>
      </c>
      <c r="E157" s="37" t="s">
        <v>296</v>
      </c>
      <c r="F157" s="37"/>
      <c r="G157" s="37"/>
      <c r="H157" s="37" t="s">
        <v>475</v>
      </c>
      <c r="I157" s="37"/>
      <c r="J157" s="37"/>
      <c r="K157" s="44" t="s">
        <v>523</v>
      </c>
      <c r="L157" s="27" t="s">
        <v>41</v>
      </c>
      <c r="M157" s="2" t="s">
        <v>41</v>
      </c>
      <c r="N157" s="2" t="s">
        <v>41</v>
      </c>
      <c r="O157" s="2" t="s">
        <v>41</v>
      </c>
      <c r="P157" s="2" t="s">
        <v>41</v>
      </c>
      <c r="Q157" s="2" t="s">
        <v>41</v>
      </c>
      <c r="R157" s="2" t="s">
        <v>41</v>
      </c>
      <c r="S157" s="2" t="s">
        <v>41</v>
      </c>
      <c r="T157" s="2" t="s">
        <v>41</v>
      </c>
      <c r="U157" s="2" t="s">
        <v>41</v>
      </c>
      <c r="V157" s="2" t="s">
        <v>41</v>
      </c>
      <c r="W157" s="29" t="s">
        <v>41</v>
      </c>
      <c r="X157" s="2" t="s">
        <v>41</v>
      </c>
      <c r="Y157" s="2" t="s">
        <v>41</v>
      </c>
      <c r="Z157" s="2" t="s">
        <v>41</v>
      </c>
      <c r="AA157" s="2" t="s">
        <v>41</v>
      </c>
      <c r="AB157" s="2" t="s">
        <v>41</v>
      </c>
      <c r="AC157" s="2" t="s">
        <v>41</v>
      </c>
      <c r="AD157" s="1" t="s">
        <v>121</v>
      </c>
      <c r="AE157" s="1" t="s">
        <v>121</v>
      </c>
      <c r="AF157" s="26" t="s">
        <v>121</v>
      </c>
      <c r="AG157" s="1" t="s">
        <v>121</v>
      </c>
      <c r="AH157" s="28" t="s">
        <v>121</v>
      </c>
      <c r="AI157" s="28" t="s">
        <v>297</v>
      </c>
      <c r="AJ157" s="40">
        <v>1</v>
      </c>
    </row>
    <row r="158" spans="1:36" ht="30" x14ac:dyDescent="0.25">
      <c r="A158" t="s">
        <v>290</v>
      </c>
      <c r="B158" s="34" t="s">
        <v>298</v>
      </c>
      <c r="C158" s="34" t="s">
        <v>299</v>
      </c>
      <c r="D158" s="32" t="str">
        <f t="shared" si="2"/>
        <v>Art galleries</v>
      </c>
      <c r="E158" s="37" t="e" cm="1">
        <f t="array" aca="1" ref="E158" ca="1">MID(C158,FIND("(",C158,LOOKUP(2,1/(MID(C158,ROW(INDIRECT("1:"&amp;LEN(C158))),1)="("),ROW(INDIRECT("1:"&amp;LEN(C158)))))+1,FIND(")",C158,LOOKUP(2,1/(MID(C158,ROW(INDIRECT("1:"&amp;LEN(C158))),1)="("),ROW(INDIRECT("1:"&amp;LEN(C158)))))-FIND("(",C158,LOOKUP(2,1/(MID(C158,ROW(INDIRECT("1:"&amp;LEN(C158))),1)="("),ROW(INDIRECT("1:"&amp;LEN(C158)))))-1)</f>
        <v>#N/A</v>
      </c>
      <c r="F158" s="37"/>
      <c r="G158" s="37"/>
      <c r="H158" s="37"/>
      <c r="I158" s="37"/>
      <c r="J158" s="37"/>
      <c r="K158" s="37"/>
      <c r="L158" s="27" t="s">
        <v>41</v>
      </c>
      <c r="M158" s="2" t="s">
        <v>41</v>
      </c>
      <c r="N158" s="2" t="s">
        <v>41</v>
      </c>
      <c r="O158" s="2" t="s">
        <v>41</v>
      </c>
      <c r="P158" s="2" t="s">
        <v>41</v>
      </c>
      <c r="Q158" s="2" t="s">
        <v>41</v>
      </c>
      <c r="R158" s="2" t="s">
        <v>41</v>
      </c>
      <c r="S158" s="2" t="s">
        <v>41</v>
      </c>
      <c r="T158" s="2" t="s">
        <v>41</v>
      </c>
      <c r="U158" s="2" t="s">
        <v>41</v>
      </c>
      <c r="V158" s="2" t="s">
        <v>41</v>
      </c>
      <c r="W158" s="29" t="s">
        <v>41</v>
      </c>
      <c r="X158" s="1" t="s">
        <v>42</v>
      </c>
      <c r="Y158" s="1" t="s">
        <v>42</v>
      </c>
      <c r="Z158" s="2" t="s">
        <v>41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26" t="s">
        <v>42</v>
      </c>
      <c r="AG158" s="1" t="s">
        <v>42</v>
      </c>
      <c r="AH158" s="28" t="s">
        <v>42</v>
      </c>
      <c r="AI158" s="28" t="s">
        <v>171</v>
      </c>
      <c r="AJ158" s="40">
        <v>0</v>
      </c>
    </row>
    <row r="159" spans="1:36" ht="30" x14ac:dyDescent="0.25">
      <c r="A159" t="s">
        <v>290</v>
      </c>
      <c r="B159" s="34" t="s">
        <v>298</v>
      </c>
      <c r="C159" s="34" t="s">
        <v>300</v>
      </c>
      <c r="D159" s="32" t="str">
        <f t="shared" si="2"/>
        <v>Art, music, dancing or theatrical studios</v>
      </c>
      <c r="E159" s="37" t="e" cm="1">
        <f t="array" aca="1" ref="E159" ca="1">MID(C159,FIND("(",C159,LOOKUP(2,1/(MID(C159,ROW(INDIRECT("1:"&amp;LEN(C159))),1)="("),ROW(INDIRECT("1:"&amp;LEN(C159)))))+1,FIND(")",C159,LOOKUP(2,1/(MID(C159,ROW(INDIRECT("1:"&amp;LEN(C159))),1)="("),ROW(INDIRECT("1:"&amp;LEN(C159)))))-FIND("(",C159,LOOKUP(2,1/(MID(C159,ROW(INDIRECT("1:"&amp;LEN(C159))),1)="("),ROW(INDIRECT("1:"&amp;LEN(C159)))))-1)</f>
        <v>#N/A</v>
      </c>
      <c r="F159" s="37"/>
      <c r="G159" s="37"/>
      <c r="H159" s="37"/>
      <c r="I159" s="37"/>
      <c r="J159" s="37"/>
      <c r="K159" s="37"/>
      <c r="L159" s="27" t="s">
        <v>41</v>
      </c>
      <c r="M159" s="2" t="s">
        <v>41</v>
      </c>
      <c r="N159" s="2" t="s">
        <v>41</v>
      </c>
      <c r="O159" s="2" t="s">
        <v>41</v>
      </c>
      <c r="P159" s="2" t="s">
        <v>41</v>
      </c>
      <c r="Q159" s="2" t="s">
        <v>41</v>
      </c>
      <c r="R159" s="2" t="s">
        <v>41</v>
      </c>
      <c r="S159" s="2" t="s">
        <v>41</v>
      </c>
      <c r="T159" s="2" t="s">
        <v>41</v>
      </c>
      <c r="U159" s="2" t="s">
        <v>41</v>
      </c>
      <c r="V159" s="2" t="s">
        <v>41</v>
      </c>
      <c r="W159" s="29" t="s">
        <v>41</v>
      </c>
      <c r="X159" s="1" t="s">
        <v>42</v>
      </c>
      <c r="Y159" s="1" t="s">
        <v>42</v>
      </c>
      <c r="Z159" s="2" t="s">
        <v>41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26" t="s">
        <v>42</v>
      </c>
      <c r="AG159" s="1" t="s">
        <v>42</v>
      </c>
      <c r="AH159" s="28" t="s">
        <v>42</v>
      </c>
      <c r="AI159" s="28" t="s">
        <v>171</v>
      </c>
      <c r="AJ159" s="40">
        <v>0</v>
      </c>
    </row>
    <row r="160" spans="1:36" ht="33" x14ac:dyDescent="0.25">
      <c r="A160" t="s">
        <v>290</v>
      </c>
      <c r="B160" s="34" t="s">
        <v>298</v>
      </c>
      <c r="C160" s="34" t="s">
        <v>301</v>
      </c>
      <c r="D160" s="32" t="str">
        <f t="shared" si="2"/>
        <v>Production or entertainment studios</v>
      </c>
      <c r="E160" s="37" t="e" cm="1">
        <f t="array" aca="1" ref="E160" ca="1">MID(C160,FIND("(",C160,LOOKUP(2,1/(MID(C160,ROW(INDIRECT("1:"&amp;LEN(C160))),1)="("),ROW(INDIRECT("1:"&amp;LEN(C160)))))+1,FIND(")",C160,LOOKUP(2,1/(MID(C160,ROW(INDIRECT("1:"&amp;LEN(C160))),1)="("),ROW(INDIRECT("1:"&amp;LEN(C160)))))-FIND("(",C160,LOOKUP(2,1/(MID(C160,ROW(INDIRECT("1:"&amp;LEN(C160))),1)="("),ROW(INDIRECT("1:"&amp;LEN(C160)))))-1)</f>
        <v>#N/A</v>
      </c>
      <c r="F160" s="37"/>
      <c r="G160" s="37"/>
      <c r="H160" s="37"/>
      <c r="I160" s="37"/>
      <c r="J160" s="37"/>
      <c r="K160" s="37"/>
      <c r="L160" s="27" t="s">
        <v>41</v>
      </c>
      <c r="M160" s="2" t="s">
        <v>41</v>
      </c>
      <c r="N160" s="2" t="s">
        <v>41</v>
      </c>
      <c r="O160" s="2" t="s">
        <v>41</v>
      </c>
      <c r="P160" s="2" t="s">
        <v>41</v>
      </c>
      <c r="Q160" s="2" t="s">
        <v>41</v>
      </c>
      <c r="R160" s="2" t="s">
        <v>41</v>
      </c>
      <c r="S160" s="2" t="s">
        <v>41</v>
      </c>
      <c r="T160" s="2" t="s">
        <v>41</v>
      </c>
      <c r="U160" s="2" t="s">
        <v>41</v>
      </c>
      <c r="V160" s="2" t="s">
        <v>41</v>
      </c>
      <c r="W160" s="29" t="s">
        <v>41</v>
      </c>
      <c r="X160" s="1" t="s">
        <v>81</v>
      </c>
      <c r="Y160" s="1" t="s">
        <v>81</v>
      </c>
      <c r="Z160" s="2" t="s">
        <v>41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26" t="s">
        <v>42</v>
      </c>
      <c r="AG160" s="1" t="s">
        <v>42</v>
      </c>
      <c r="AH160" s="28" t="s">
        <v>42</v>
      </c>
      <c r="AI160" s="28" t="s">
        <v>302</v>
      </c>
      <c r="AJ160" s="40">
        <v>0</v>
      </c>
    </row>
    <row r="161" spans="1:36" ht="33" x14ac:dyDescent="0.25">
      <c r="A161" t="s">
        <v>290</v>
      </c>
      <c r="B161" s="34" t="s">
        <v>303</v>
      </c>
      <c r="C161" s="34" t="s">
        <v>304</v>
      </c>
      <c r="D161" s="32" t="str">
        <f t="shared" si="2"/>
        <v>Arenas or auditoriums</v>
      </c>
      <c r="E161" s="37" t="e" cm="1">
        <f t="array" aca="1" ref="E161" ca="1">MID(C161,FIND("(",C161,LOOKUP(2,1/(MID(C161,ROW(INDIRECT("1:"&amp;LEN(C161))),1)="("),ROW(INDIRECT("1:"&amp;LEN(C161)))))+1,FIND(")",C161,LOOKUP(2,1/(MID(C161,ROW(INDIRECT("1:"&amp;LEN(C161))),1)="("),ROW(INDIRECT("1:"&amp;LEN(C161)))))-FIND("(",C161,LOOKUP(2,1/(MID(C161,ROW(INDIRECT("1:"&amp;LEN(C161))),1)="("),ROW(INDIRECT("1:"&amp;LEN(C161)))))-1)</f>
        <v>#N/A</v>
      </c>
      <c r="F161" s="37"/>
      <c r="G161" s="37"/>
      <c r="H161" s="37"/>
      <c r="I161" s="37"/>
      <c r="J161" s="37"/>
      <c r="K161" s="37"/>
      <c r="L161" s="27" t="s">
        <v>41</v>
      </c>
      <c r="M161" s="2" t="s">
        <v>41</v>
      </c>
      <c r="N161" s="2" t="s">
        <v>41</v>
      </c>
      <c r="O161" s="2" t="s">
        <v>41</v>
      </c>
      <c r="P161" s="2" t="s">
        <v>41</v>
      </c>
      <c r="Q161" s="2" t="s">
        <v>41</v>
      </c>
      <c r="R161" s="2" t="s">
        <v>41</v>
      </c>
      <c r="S161" s="2" t="s">
        <v>41</v>
      </c>
      <c r="T161" s="2" t="s">
        <v>41</v>
      </c>
      <c r="U161" s="2" t="s">
        <v>41</v>
      </c>
      <c r="V161" s="2" t="s">
        <v>41</v>
      </c>
      <c r="W161" s="29" t="s">
        <v>41</v>
      </c>
      <c r="X161" s="2" t="s">
        <v>41</v>
      </c>
      <c r="Y161" s="2" t="s">
        <v>41</v>
      </c>
      <c r="Z161" s="2" t="s">
        <v>41</v>
      </c>
      <c r="AA161" s="1" t="s">
        <v>81</v>
      </c>
      <c r="AB161" s="1" t="s">
        <v>81</v>
      </c>
      <c r="AC161" s="1" t="s">
        <v>81</v>
      </c>
      <c r="AD161" s="1" t="s">
        <v>81</v>
      </c>
      <c r="AE161" s="1" t="s">
        <v>81</v>
      </c>
      <c r="AF161" s="26" t="s">
        <v>81</v>
      </c>
      <c r="AG161" s="1" t="s">
        <v>81</v>
      </c>
      <c r="AH161" s="28" t="s">
        <v>81</v>
      </c>
      <c r="AI161" s="28" t="s">
        <v>302</v>
      </c>
      <c r="AJ161" s="40">
        <v>0</v>
      </c>
    </row>
    <row r="162" spans="1:36" ht="30" x14ac:dyDescent="0.25">
      <c r="A162" t="s">
        <v>290</v>
      </c>
      <c r="B162" s="34" t="s">
        <v>303</v>
      </c>
      <c r="C162" s="34" t="s">
        <v>305</v>
      </c>
      <c r="D162" s="32" t="str">
        <f t="shared" si="2"/>
        <v>Drive-in theaters</v>
      </c>
      <c r="E162" s="37" t="e" cm="1">
        <f t="array" aca="1" ref="E162" ca="1">MID(C162,FIND("(",C162,LOOKUP(2,1/(MID(C162,ROW(INDIRECT("1:"&amp;LEN(C162))),1)="("),ROW(INDIRECT("1:"&amp;LEN(C162)))))+1,FIND(")",C162,LOOKUP(2,1/(MID(C162,ROW(INDIRECT("1:"&amp;LEN(C162))),1)="("),ROW(INDIRECT("1:"&amp;LEN(C162)))))-FIND("(",C162,LOOKUP(2,1/(MID(C162,ROW(INDIRECT("1:"&amp;LEN(C162))),1)="("),ROW(INDIRECT("1:"&amp;LEN(C162)))))-1)</f>
        <v>#N/A</v>
      </c>
      <c r="F162" s="37"/>
      <c r="G162" s="37"/>
      <c r="H162" s="37"/>
      <c r="I162" s="37"/>
      <c r="J162" s="37"/>
      <c r="K162" s="37"/>
      <c r="L162" s="27" t="s">
        <v>41</v>
      </c>
      <c r="M162" s="2" t="s">
        <v>41</v>
      </c>
      <c r="N162" s="2" t="s">
        <v>41</v>
      </c>
      <c r="O162" s="2" t="s">
        <v>41</v>
      </c>
      <c r="P162" s="2" t="s">
        <v>41</v>
      </c>
      <c r="Q162" s="2" t="s">
        <v>41</v>
      </c>
      <c r="R162" s="2" t="s">
        <v>41</v>
      </c>
      <c r="S162" s="2" t="s">
        <v>41</v>
      </c>
      <c r="T162" s="2" t="s">
        <v>41</v>
      </c>
      <c r="U162" s="2" t="s">
        <v>41</v>
      </c>
      <c r="V162" s="2" t="s">
        <v>41</v>
      </c>
      <c r="W162" s="29" t="s">
        <v>41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  <c r="AD162" s="1" t="s">
        <v>47</v>
      </c>
      <c r="AE162" s="1" t="s">
        <v>47</v>
      </c>
      <c r="AF162" s="26" t="s">
        <v>47</v>
      </c>
      <c r="AG162" s="1" t="s">
        <v>47</v>
      </c>
      <c r="AH162" s="28" t="s">
        <v>47</v>
      </c>
      <c r="AI162" s="29" t="s">
        <v>43</v>
      </c>
      <c r="AJ162" s="40">
        <v>0</v>
      </c>
    </row>
    <row r="163" spans="1:36" ht="30" x14ac:dyDescent="0.25">
      <c r="A163" t="s">
        <v>290</v>
      </c>
      <c r="B163" s="34" t="s">
        <v>303</v>
      </c>
      <c r="C163" s="34" t="s">
        <v>306</v>
      </c>
      <c r="D163" s="32" t="str">
        <f t="shared" si="2"/>
        <v>Racetracks</v>
      </c>
      <c r="E163" s="37" t="e" cm="1">
        <f t="array" aca="1" ref="E163" ca="1">MID(C163,FIND("(",C163,LOOKUP(2,1/(MID(C163,ROW(INDIRECT("1:"&amp;LEN(C163))),1)="("),ROW(INDIRECT("1:"&amp;LEN(C163)))))+1,FIND(")",C163,LOOKUP(2,1/(MID(C163,ROW(INDIRECT("1:"&amp;LEN(C163))),1)="("),ROW(INDIRECT("1:"&amp;LEN(C163)))))-FIND("(",C163,LOOKUP(2,1/(MID(C163,ROW(INDIRECT("1:"&amp;LEN(C163))),1)="("),ROW(INDIRECT("1:"&amp;LEN(C163)))))-1)</f>
        <v>#N/A</v>
      </c>
      <c r="F163" s="37"/>
      <c r="G163" s="37"/>
      <c r="H163" s="37"/>
      <c r="I163" s="37"/>
      <c r="J163" s="37"/>
      <c r="K163" s="37"/>
      <c r="L163" s="27" t="s">
        <v>41</v>
      </c>
      <c r="M163" s="2" t="s">
        <v>41</v>
      </c>
      <c r="N163" s="2" t="s">
        <v>41</v>
      </c>
      <c r="O163" s="2" t="s">
        <v>41</v>
      </c>
      <c r="P163" s="2" t="s">
        <v>41</v>
      </c>
      <c r="Q163" s="2" t="s">
        <v>41</v>
      </c>
      <c r="R163" s="2" t="s">
        <v>41</v>
      </c>
      <c r="S163" s="2" t="s">
        <v>41</v>
      </c>
      <c r="T163" s="2" t="s">
        <v>41</v>
      </c>
      <c r="U163" s="2" t="s">
        <v>41</v>
      </c>
      <c r="V163" s="2" t="s">
        <v>41</v>
      </c>
      <c r="W163" s="29" t="s">
        <v>41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  <c r="AD163" s="2" t="s">
        <v>41</v>
      </c>
      <c r="AE163" s="1" t="s">
        <v>47</v>
      </c>
      <c r="AF163" s="26" t="s">
        <v>47</v>
      </c>
      <c r="AG163" s="1" t="s">
        <v>47</v>
      </c>
      <c r="AH163" s="28" t="s">
        <v>47</v>
      </c>
      <c r="AI163" s="28" t="s">
        <v>307</v>
      </c>
      <c r="AJ163" s="40">
        <v>0</v>
      </c>
    </row>
    <row r="164" spans="1:36" ht="33" x14ac:dyDescent="0.25">
      <c r="A164" t="s">
        <v>290</v>
      </c>
      <c r="B164" s="34" t="s">
        <v>303</v>
      </c>
      <c r="C164" s="34" t="s">
        <v>308</v>
      </c>
      <c r="D164" s="32" t="str">
        <f t="shared" si="2"/>
        <v>Stadiums</v>
      </c>
      <c r="E164" s="37" t="e" cm="1">
        <f t="array" aca="1" ref="E164" ca="1">MID(C164,FIND("(",C164,LOOKUP(2,1/(MID(C164,ROW(INDIRECT("1:"&amp;LEN(C164))),1)="("),ROW(INDIRECT("1:"&amp;LEN(C164)))))+1,FIND(")",C164,LOOKUP(2,1/(MID(C164,ROW(INDIRECT("1:"&amp;LEN(C164))),1)="("),ROW(INDIRECT("1:"&amp;LEN(C164)))))-FIND("(",C164,LOOKUP(2,1/(MID(C164,ROW(INDIRECT("1:"&amp;LEN(C164))),1)="("),ROW(INDIRECT("1:"&amp;LEN(C164)))))-1)</f>
        <v>#N/A</v>
      </c>
      <c r="F164" s="37"/>
      <c r="G164" s="37"/>
      <c r="H164" s="37"/>
      <c r="I164" s="37"/>
      <c r="J164" s="37"/>
      <c r="K164" s="37"/>
      <c r="L164" s="27" t="s">
        <v>41</v>
      </c>
      <c r="M164" s="2" t="s">
        <v>41</v>
      </c>
      <c r="N164" s="2" t="s">
        <v>41</v>
      </c>
      <c r="O164" s="2" t="s">
        <v>41</v>
      </c>
      <c r="P164" s="2" t="s">
        <v>41</v>
      </c>
      <c r="Q164" s="2" t="s">
        <v>41</v>
      </c>
      <c r="R164" s="2" t="s">
        <v>41</v>
      </c>
      <c r="S164" s="2" t="s">
        <v>41</v>
      </c>
      <c r="T164" s="2" t="s">
        <v>41</v>
      </c>
      <c r="U164" s="2" t="s">
        <v>41</v>
      </c>
      <c r="V164" s="2" t="s">
        <v>41</v>
      </c>
      <c r="W164" s="29" t="s">
        <v>41</v>
      </c>
      <c r="X164" s="2" t="s">
        <v>41</v>
      </c>
      <c r="Y164" s="2" t="s">
        <v>41</v>
      </c>
      <c r="Z164" s="2" t="s">
        <v>41</v>
      </c>
      <c r="AA164" s="1" t="s">
        <v>121</v>
      </c>
      <c r="AB164" s="1" t="s">
        <v>121</v>
      </c>
      <c r="AC164" s="1" t="s">
        <v>121</v>
      </c>
      <c r="AD164" s="1" t="s">
        <v>121</v>
      </c>
      <c r="AE164" s="1" t="s">
        <v>121</v>
      </c>
      <c r="AF164" s="26" t="s">
        <v>121</v>
      </c>
      <c r="AG164" s="1" t="s">
        <v>121</v>
      </c>
      <c r="AH164" s="28" t="s">
        <v>121</v>
      </c>
      <c r="AI164" s="28" t="s">
        <v>302</v>
      </c>
      <c r="AJ164" s="40">
        <v>0</v>
      </c>
    </row>
    <row r="165" spans="1:36" ht="33" x14ac:dyDescent="0.25">
      <c r="A165" t="s">
        <v>290</v>
      </c>
      <c r="B165" s="34" t="s">
        <v>303</v>
      </c>
      <c r="C165" s="34" t="s">
        <v>309</v>
      </c>
      <c r="D165" s="32" t="str">
        <f t="shared" si="2"/>
        <v>Theaters</v>
      </c>
      <c r="E165" s="37" t="e" cm="1">
        <f t="array" aca="1" ref="E165" ca="1">MID(C165,FIND("(",C165,LOOKUP(2,1/(MID(C165,ROW(INDIRECT("1:"&amp;LEN(C165))),1)="("),ROW(INDIRECT("1:"&amp;LEN(C165)))))+1,FIND(")",C165,LOOKUP(2,1/(MID(C165,ROW(INDIRECT("1:"&amp;LEN(C165))),1)="("),ROW(INDIRECT("1:"&amp;LEN(C165)))))-FIND("(",C165,LOOKUP(2,1/(MID(C165,ROW(INDIRECT("1:"&amp;LEN(C165))),1)="("),ROW(INDIRECT("1:"&amp;LEN(C165)))))-1)</f>
        <v>#N/A</v>
      </c>
      <c r="F165" s="37"/>
      <c r="G165" s="37"/>
      <c r="H165" s="37"/>
      <c r="I165" s="37"/>
      <c r="J165" s="37"/>
      <c r="K165" s="37"/>
      <c r="L165" s="12" t="s">
        <v>41</v>
      </c>
      <c r="M165" s="9" t="s">
        <v>41</v>
      </c>
      <c r="N165" s="9" t="s">
        <v>41</v>
      </c>
      <c r="O165" s="9" t="s">
        <v>41</v>
      </c>
      <c r="P165" s="9" t="s">
        <v>41</v>
      </c>
      <c r="Q165" s="9" t="s">
        <v>41</v>
      </c>
      <c r="R165" s="9" t="s">
        <v>41</v>
      </c>
      <c r="S165" s="9" t="s">
        <v>41</v>
      </c>
      <c r="T165" s="9" t="s">
        <v>41</v>
      </c>
      <c r="U165" s="9" t="s">
        <v>41</v>
      </c>
      <c r="V165" s="9" t="s">
        <v>41</v>
      </c>
      <c r="W165" s="13" t="s">
        <v>41</v>
      </c>
      <c r="X165" s="10" t="s">
        <v>310</v>
      </c>
      <c r="Y165" s="10" t="s">
        <v>310</v>
      </c>
      <c r="Z165" s="9" t="s">
        <v>41</v>
      </c>
      <c r="AA165" s="10" t="s">
        <v>310</v>
      </c>
      <c r="AB165" s="10" t="s">
        <v>310</v>
      </c>
      <c r="AC165" s="10" t="s">
        <v>310</v>
      </c>
      <c r="AD165" s="10" t="s">
        <v>42</v>
      </c>
      <c r="AE165" s="10" t="s">
        <v>310</v>
      </c>
      <c r="AF165" s="16" t="s">
        <v>42</v>
      </c>
      <c r="AG165" s="10" t="s">
        <v>42</v>
      </c>
      <c r="AH165" s="14" t="s">
        <v>42</v>
      </c>
      <c r="AI165" s="28" t="s">
        <v>302</v>
      </c>
      <c r="AJ165" s="40">
        <v>0</v>
      </c>
    </row>
    <row r="166" spans="1:36" ht="30" x14ac:dyDescent="0.25">
      <c r="A166" t="s">
        <v>290</v>
      </c>
      <c r="B166" s="34" t="s">
        <v>311</v>
      </c>
      <c r="C166" s="34" t="s">
        <v>312</v>
      </c>
      <c r="D166" s="32" t="str">
        <f t="shared" si="2"/>
        <v>Banquet, function or reception halls</v>
      </c>
      <c r="E166" s="37" t="e" cm="1">
        <f t="array" aca="1" ref="E166" ca="1">MID(C166,FIND("(",C166,LOOKUP(2,1/(MID(C166,ROW(INDIRECT("1:"&amp;LEN(C166))),1)="("),ROW(INDIRECT("1:"&amp;LEN(C166)))))+1,FIND(")",C166,LOOKUP(2,1/(MID(C166,ROW(INDIRECT("1:"&amp;LEN(C166))),1)="("),ROW(INDIRECT("1:"&amp;LEN(C166)))))-FIND("(",C166,LOOKUP(2,1/(MID(C166,ROW(INDIRECT("1:"&amp;LEN(C166))),1)="("),ROW(INDIRECT("1:"&amp;LEN(C166)))))-1)</f>
        <v>#N/A</v>
      </c>
      <c r="F166" s="37"/>
      <c r="G166" s="37"/>
      <c r="H166" s="37"/>
      <c r="I166" s="37"/>
      <c r="J166" s="37"/>
      <c r="K166" s="37"/>
      <c r="L166" s="27" t="s">
        <v>41</v>
      </c>
      <c r="M166" s="2" t="s">
        <v>41</v>
      </c>
      <c r="N166" s="2" t="s">
        <v>41</v>
      </c>
      <c r="O166" s="2" t="s">
        <v>41</v>
      </c>
      <c r="P166" s="2" t="s">
        <v>41</v>
      </c>
      <c r="Q166" s="2" t="s">
        <v>41</v>
      </c>
      <c r="R166" s="2" t="s">
        <v>41</v>
      </c>
      <c r="S166" s="2" t="s">
        <v>41</v>
      </c>
      <c r="T166" s="2" t="s">
        <v>41</v>
      </c>
      <c r="U166" s="2" t="s">
        <v>41</v>
      </c>
      <c r="V166" s="2" t="s">
        <v>41</v>
      </c>
      <c r="W166" s="29" t="s">
        <v>41</v>
      </c>
      <c r="X166" s="1" t="s">
        <v>42</v>
      </c>
      <c r="Y166" s="1" t="s">
        <v>42</v>
      </c>
      <c r="Z166" s="2" t="s">
        <v>41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26" t="s">
        <v>42</v>
      </c>
      <c r="AG166" s="1" t="s">
        <v>42</v>
      </c>
      <c r="AH166" s="28" t="s">
        <v>42</v>
      </c>
      <c r="AI166" s="28" t="s">
        <v>302</v>
      </c>
      <c r="AJ166" s="40">
        <v>0</v>
      </c>
    </row>
    <row r="167" spans="1:36" ht="33" x14ac:dyDescent="0.25">
      <c r="A167" t="s">
        <v>290</v>
      </c>
      <c r="B167" s="34" t="s">
        <v>311</v>
      </c>
      <c r="C167" s="34" t="s">
        <v>313</v>
      </c>
      <c r="D167" s="32" t="str">
        <f t="shared" si="2"/>
        <v>Gaming facilities</v>
      </c>
      <c r="E167" s="37" t="e" cm="1">
        <f t="array" aca="1" ref="E167" ca="1">MID(C167,FIND("(",C167,LOOKUP(2,1/(MID(C167,ROW(INDIRECT("1:"&amp;LEN(C167))),1)="("),ROW(INDIRECT("1:"&amp;LEN(C167)))))+1,FIND(")",C167,LOOKUP(2,1/(MID(C167,ROW(INDIRECT("1:"&amp;LEN(C167))),1)="("),ROW(INDIRECT("1:"&amp;LEN(C167)))))-FIND("(",C167,LOOKUP(2,1/(MID(C167,ROW(INDIRECT("1:"&amp;LEN(C167))),1)="("),ROW(INDIRECT("1:"&amp;LEN(C167)))))-1)</f>
        <v>#N/A</v>
      </c>
      <c r="F167" s="37"/>
      <c r="G167" s="37"/>
      <c r="H167" s="37"/>
      <c r="I167" s="37"/>
      <c r="J167" s="37"/>
      <c r="K167" s="37"/>
      <c r="L167" s="27" t="s">
        <v>41</v>
      </c>
      <c r="M167" s="2" t="s">
        <v>41</v>
      </c>
      <c r="N167" s="2" t="s">
        <v>41</v>
      </c>
      <c r="O167" s="2" t="s">
        <v>41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41</v>
      </c>
      <c r="U167" s="2" t="s">
        <v>41</v>
      </c>
      <c r="V167" s="2" t="s">
        <v>41</v>
      </c>
      <c r="W167" s="29" t="s">
        <v>41</v>
      </c>
      <c r="X167" s="2" t="s">
        <v>41</v>
      </c>
      <c r="Y167" s="2" t="s">
        <v>41</v>
      </c>
      <c r="Z167" s="2" t="s">
        <v>41</v>
      </c>
      <c r="AA167" s="1" t="s">
        <v>35</v>
      </c>
      <c r="AB167" s="1" t="s">
        <v>35</v>
      </c>
      <c r="AC167" s="1" t="s">
        <v>35</v>
      </c>
      <c r="AD167" s="1" t="s">
        <v>35</v>
      </c>
      <c r="AE167" s="1" t="s">
        <v>35</v>
      </c>
      <c r="AF167" s="26" t="s">
        <v>35</v>
      </c>
      <c r="AG167" s="1" t="s">
        <v>35</v>
      </c>
      <c r="AH167" s="28" t="s">
        <v>35</v>
      </c>
      <c r="AI167" s="28" t="s">
        <v>302</v>
      </c>
      <c r="AJ167" s="40">
        <v>0</v>
      </c>
    </row>
    <row r="168" spans="1:36" ht="30" x14ac:dyDescent="0.25">
      <c r="A168" t="s">
        <v>290</v>
      </c>
      <c r="B168" s="34" t="s">
        <v>311</v>
      </c>
      <c r="C168" s="34" t="s">
        <v>314</v>
      </c>
      <c r="D168" s="32" t="str">
        <f t="shared" si="2"/>
        <v>Historical exhibits</v>
      </c>
      <c r="E168" s="37" t="e" cm="1">
        <f t="array" aca="1" ref="E168" ca="1">MID(C168,FIND("(",C168,LOOKUP(2,1/(MID(C168,ROW(INDIRECT("1:"&amp;LEN(C168))),1)="("),ROW(INDIRECT("1:"&amp;LEN(C168)))))+1,FIND(")",C168,LOOKUP(2,1/(MID(C168,ROW(INDIRECT("1:"&amp;LEN(C168))),1)="("),ROW(INDIRECT("1:"&amp;LEN(C168)))))-FIND("(",C168,LOOKUP(2,1/(MID(C168,ROW(INDIRECT("1:"&amp;LEN(C168))),1)="("),ROW(INDIRECT("1:"&amp;LEN(C168)))))-1)</f>
        <v>#N/A</v>
      </c>
      <c r="F168" s="37"/>
      <c r="G168" s="37"/>
      <c r="H168" s="37"/>
      <c r="I168" s="37"/>
      <c r="J168" s="37"/>
      <c r="K168" s="37"/>
      <c r="L168" s="27" t="s">
        <v>41</v>
      </c>
      <c r="M168" s="2" t="s">
        <v>41</v>
      </c>
      <c r="N168" s="2" t="s">
        <v>41</v>
      </c>
      <c r="O168" s="2" t="s">
        <v>41</v>
      </c>
      <c r="P168" s="2" t="s">
        <v>41</v>
      </c>
      <c r="Q168" s="2" t="s">
        <v>41</v>
      </c>
      <c r="R168" s="2" t="s">
        <v>41</v>
      </c>
      <c r="S168" s="2" t="s">
        <v>41</v>
      </c>
      <c r="T168" s="2" t="s">
        <v>41</v>
      </c>
      <c r="U168" s="2" t="s">
        <v>41</v>
      </c>
      <c r="V168" s="2" t="s">
        <v>41</v>
      </c>
      <c r="W168" s="29" t="s">
        <v>41</v>
      </c>
      <c r="X168" s="1" t="s">
        <v>42</v>
      </c>
      <c r="Y168" s="1" t="s">
        <v>42</v>
      </c>
      <c r="Z168" s="2" t="s">
        <v>41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26" t="s">
        <v>42</v>
      </c>
      <c r="AG168" s="1" t="s">
        <v>42</v>
      </c>
      <c r="AH168" s="28" t="s">
        <v>42</v>
      </c>
      <c r="AI168" s="28" t="s">
        <v>302</v>
      </c>
      <c r="AJ168" s="40">
        <v>0</v>
      </c>
    </row>
    <row r="169" spans="1:36" ht="30" x14ac:dyDescent="0.25">
      <c r="A169" t="s">
        <v>290</v>
      </c>
      <c r="B169" s="34" t="s">
        <v>311</v>
      </c>
      <c r="C169" s="34" t="s">
        <v>315</v>
      </c>
      <c r="D169" s="32" t="str">
        <f t="shared" si="2"/>
        <v>Meeting halls</v>
      </c>
      <c r="E169" s="37" t="e" cm="1">
        <f t="array" aca="1" ref="E169" ca="1">MID(C169,FIND("(",C169,LOOKUP(2,1/(MID(C169,ROW(INDIRECT("1:"&amp;LEN(C169))),1)="("),ROW(INDIRECT("1:"&amp;LEN(C169)))))+1,FIND(")",C169,LOOKUP(2,1/(MID(C169,ROW(INDIRECT("1:"&amp;LEN(C169))),1)="("),ROW(INDIRECT("1:"&amp;LEN(C169)))))-FIND("(",C169,LOOKUP(2,1/(MID(C169,ROW(INDIRECT("1:"&amp;LEN(C169))),1)="("),ROW(INDIRECT("1:"&amp;LEN(C169)))))-1)</f>
        <v>#N/A</v>
      </c>
      <c r="F169" s="37"/>
      <c r="G169" s="37"/>
      <c r="H169" s="37"/>
      <c r="I169" s="37"/>
      <c r="J169" s="37"/>
      <c r="K169" s="37"/>
      <c r="L169" s="27" t="s">
        <v>41</v>
      </c>
      <c r="M169" s="2" t="s">
        <v>41</v>
      </c>
      <c r="N169" s="2" t="s">
        <v>41</v>
      </c>
      <c r="O169" s="2" t="s">
        <v>41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41</v>
      </c>
      <c r="U169" s="2" t="s">
        <v>41</v>
      </c>
      <c r="V169" s="2" t="s">
        <v>41</v>
      </c>
      <c r="W169" s="29" t="s">
        <v>41</v>
      </c>
      <c r="X169" s="1" t="s">
        <v>42</v>
      </c>
      <c r="Y169" s="1" t="s">
        <v>42</v>
      </c>
      <c r="Z169" s="2" t="s">
        <v>41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26" t="s">
        <v>42</v>
      </c>
      <c r="AG169" s="1" t="s">
        <v>42</v>
      </c>
      <c r="AH169" s="28" t="s">
        <v>42</v>
      </c>
      <c r="AI169" s="28" t="s">
        <v>302</v>
      </c>
      <c r="AJ169" s="40">
        <v>0</v>
      </c>
    </row>
    <row r="170" spans="1:36" ht="30" x14ac:dyDescent="0.25">
      <c r="A170" t="s">
        <v>290</v>
      </c>
      <c r="B170" s="34" t="s">
        <v>311</v>
      </c>
      <c r="C170" s="34" t="s">
        <v>316</v>
      </c>
      <c r="D170" s="32" t="str">
        <f t="shared" si="2"/>
        <v>Non-commercial clubs</v>
      </c>
      <c r="E170" s="37" t="e" cm="1">
        <f t="array" aca="1" ref="E170" ca="1">MID(C170,FIND("(",C170,LOOKUP(2,1/(MID(C170,ROW(INDIRECT("1:"&amp;LEN(C170))),1)="("),ROW(INDIRECT("1:"&amp;LEN(C170)))))+1,FIND(")",C170,LOOKUP(2,1/(MID(C170,ROW(INDIRECT("1:"&amp;LEN(C170))),1)="("),ROW(INDIRECT("1:"&amp;LEN(C170)))))-FIND("(",C170,LOOKUP(2,1/(MID(C170,ROW(INDIRECT("1:"&amp;LEN(C170))),1)="("),ROW(INDIRECT("1:"&amp;LEN(C170)))))-1)</f>
        <v>#N/A</v>
      </c>
      <c r="F170" s="37"/>
      <c r="G170" s="37"/>
      <c r="H170" s="37"/>
      <c r="I170" s="37"/>
      <c r="J170" s="37"/>
      <c r="K170" s="37"/>
      <c r="L170" s="27" t="s">
        <v>41</v>
      </c>
      <c r="M170" s="2" t="s">
        <v>41</v>
      </c>
      <c r="N170" s="2" t="s">
        <v>41</v>
      </c>
      <c r="O170" s="2" t="s">
        <v>41</v>
      </c>
      <c r="P170" s="2" t="s">
        <v>41</v>
      </c>
      <c r="Q170" s="2" t="s">
        <v>41</v>
      </c>
      <c r="R170" s="2" t="s">
        <v>41</v>
      </c>
      <c r="S170" s="2" t="s">
        <v>41</v>
      </c>
      <c r="T170" s="2" t="s">
        <v>41</v>
      </c>
      <c r="U170" s="2" t="s">
        <v>41</v>
      </c>
      <c r="V170" s="2" t="s">
        <v>41</v>
      </c>
      <c r="W170" s="29" t="s">
        <v>41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26" t="s">
        <v>42</v>
      </c>
      <c r="AG170" s="1" t="s">
        <v>42</v>
      </c>
      <c r="AH170" s="28" t="s">
        <v>42</v>
      </c>
      <c r="AI170" s="28" t="s">
        <v>302</v>
      </c>
      <c r="AJ170" s="40">
        <v>0</v>
      </c>
    </row>
    <row r="171" spans="1:36" ht="33" x14ac:dyDescent="0.25">
      <c r="A171" t="s">
        <v>290</v>
      </c>
      <c r="B171" s="34" t="s">
        <v>311</v>
      </c>
      <c r="C171" s="34" t="s">
        <v>317</v>
      </c>
      <c r="D171" s="32" t="str">
        <f t="shared" si="2"/>
        <v>Observation decks</v>
      </c>
      <c r="E171" s="37" t="e" cm="1">
        <f t="array" aca="1" ref="E171" ca="1">MID(C171,FIND("(",C171,LOOKUP(2,1/(MID(C171,ROW(INDIRECT("1:"&amp;LEN(C171))),1)="("),ROW(INDIRECT("1:"&amp;LEN(C171)))))+1,FIND(")",C171,LOOKUP(2,1/(MID(C171,ROW(INDIRECT("1:"&amp;LEN(C171))),1)="("),ROW(INDIRECT("1:"&amp;LEN(C171)))))-FIND("(",C171,LOOKUP(2,1/(MID(C171,ROW(INDIRECT("1:"&amp;LEN(C171))),1)="("),ROW(INDIRECT("1:"&amp;LEN(C171)))))-1)</f>
        <v>#N/A</v>
      </c>
      <c r="F171" s="37"/>
      <c r="G171" s="37"/>
      <c r="H171" s="37"/>
      <c r="I171" s="37"/>
      <c r="J171" s="37"/>
      <c r="K171" s="37"/>
      <c r="L171" s="27" t="s">
        <v>41</v>
      </c>
      <c r="M171" s="2" t="s">
        <v>41</v>
      </c>
      <c r="N171" s="2" t="s">
        <v>41</v>
      </c>
      <c r="O171" s="2" t="s">
        <v>41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41</v>
      </c>
      <c r="U171" s="2" t="s">
        <v>41</v>
      </c>
      <c r="V171" s="2" t="s">
        <v>41</v>
      </c>
      <c r="W171" s="29" t="s">
        <v>41</v>
      </c>
      <c r="X171" s="1" t="s">
        <v>137</v>
      </c>
      <c r="Y171" s="1" t="s">
        <v>137</v>
      </c>
      <c r="Z171" s="2" t="s">
        <v>41</v>
      </c>
      <c r="AA171" s="1" t="s">
        <v>137</v>
      </c>
      <c r="AB171" s="1" t="s">
        <v>137</v>
      </c>
      <c r="AC171" s="1" t="s">
        <v>137</v>
      </c>
      <c r="AD171" s="1" t="s">
        <v>137</v>
      </c>
      <c r="AE171" s="1" t="s">
        <v>137</v>
      </c>
      <c r="AF171" s="26" t="s">
        <v>137</v>
      </c>
      <c r="AG171" s="1" t="s">
        <v>137</v>
      </c>
      <c r="AH171" s="28" t="s">
        <v>137</v>
      </c>
      <c r="AI171" s="28" t="s">
        <v>302</v>
      </c>
      <c r="AJ171" s="40">
        <v>0</v>
      </c>
    </row>
    <row r="172" spans="1:36" ht="33" x14ac:dyDescent="0.25">
      <c r="A172" t="s">
        <v>290</v>
      </c>
      <c r="B172" s="34" t="s">
        <v>311</v>
      </c>
      <c r="C172" s="34" t="s">
        <v>318</v>
      </c>
      <c r="D172" s="32" t="str">
        <f t="shared" si="2"/>
        <v>Outdoor day camps</v>
      </c>
      <c r="E172" s="37" t="e" cm="1">
        <f t="array" aca="1" ref="E172" ca="1">MID(C172,FIND("(",C172,LOOKUP(2,1/(MID(C172,ROW(INDIRECT("1:"&amp;LEN(C172))),1)="("),ROW(INDIRECT("1:"&amp;LEN(C172)))))+1,FIND(")",C172,LOOKUP(2,1/(MID(C172,ROW(INDIRECT("1:"&amp;LEN(C172))),1)="("),ROW(INDIRECT("1:"&amp;LEN(C172)))))-FIND("(",C172,LOOKUP(2,1/(MID(C172,ROW(INDIRECT("1:"&amp;LEN(C172))),1)="("),ROW(INDIRECT("1:"&amp;LEN(C172)))))-1)</f>
        <v>#N/A</v>
      </c>
      <c r="F172" s="37"/>
      <c r="G172" s="37"/>
      <c r="H172" s="37"/>
      <c r="I172" s="37"/>
      <c r="J172" s="37"/>
      <c r="K172" s="37"/>
      <c r="L172" s="26" t="s">
        <v>47</v>
      </c>
      <c r="M172" s="1" t="s">
        <v>47</v>
      </c>
      <c r="N172" s="1" t="s">
        <v>47</v>
      </c>
      <c r="O172" s="1" t="s">
        <v>47</v>
      </c>
      <c r="P172" s="1" t="s">
        <v>47</v>
      </c>
      <c r="Q172" s="1" t="s">
        <v>47</v>
      </c>
      <c r="R172" s="1" t="s">
        <v>47</v>
      </c>
      <c r="S172" s="1" t="s">
        <v>47</v>
      </c>
      <c r="T172" s="1" t="s">
        <v>47</v>
      </c>
      <c r="U172" s="1" t="s">
        <v>47</v>
      </c>
      <c r="V172" s="1" t="s">
        <v>47</v>
      </c>
      <c r="W172" s="28" t="s">
        <v>47</v>
      </c>
      <c r="X172" s="1" t="s">
        <v>47</v>
      </c>
      <c r="Y172" s="1" t="s">
        <v>47</v>
      </c>
      <c r="Z172" s="1" t="s">
        <v>47</v>
      </c>
      <c r="AA172" s="2" t="s">
        <v>47</v>
      </c>
      <c r="AB172" s="2" t="s">
        <v>47</v>
      </c>
      <c r="AC172" s="2" t="s">
        <v>47</v>
      </c>
      <c r="AD172" s="2" t="s">
        <v>47</v>
      </c>
      <c r="AE172" s="1" t="s">
        <v>137</v>
      </c>
      <c r="AF172" s="26" t="s">
        <v>137</v>
      </c>
      <c r="AG172" s="1" t="s">
        <v>137</v>
      </c>
      <c r="AH172" s="28" t="s">
        <v>137</v>
      </c>
      <c r="AI172" s="29" t="s">
        <v>38</v>
      </c>
      <c r="AJ172" s="40">
        <v>0</v>
      </c>
    </row>
    <row r="173" spans="1:36" ht="33" x14ac:dyDescent="0.25">
      <c r="A173" t="s">
        <v>290</v>
      </c>
      <c r="B173" s="34" t="s">
        <v>311</v>
      </c>
      <c r="C173" s="34" t="s">
        <v>319</v>
      </c>
      <c r="D173" s="32" t="str">
        <f t="shared" si="2"/>
        <v>Publicly accessible spaces</v>
      </c>
      <c r="E173" s="37" t="e" cm="1">
        <f t="array" aca="1" ref="E173" ca="1">MID(C173,FIND("(",C173,LOOKUP(2,1/(MID(C173,ROW(INDIRECT("1:"&amp;LEN(C173))),1)="("),ROW(INDIRECT("1:"&amp;LEN(C173)))))+1,FIND(")",C173,LOOKUP(2,1/(MID(C173,ROW(INDIRECT("1:"&amp;LEN(C173))),1)="("),ROW(INDIRECT("1:"&amp;LEN(C173)))))-FIND("(",C173,LOOKUP(2,1/(MID(C173,ROW(INDIRECT("1:"&amp;LEN(C173))),1)="("),ROW(INDIRECT("1:"&amp;LEN(C173)))))-1)</f>
        <v>#N/A</v>
      </c>
      <c r="F173" s="37"/>
      <c r="G173" s="37"/>
      <c r="H173" s="37"/>
      <c r="I173" s="37"/>
      <c r="J173" s="37"/>
      <c r="K173" s="37"/>
      <c r="L173" s="27" t="s">
        <v>41</v>
      </c>
      <c r="M173" s="2" t="s">
        <v>41</v>
      </c>
      <c r="N173" s="2" t="s">
        <v>41</v>
      </c>
      <c r="O173" s="2" t="s">
        <v>41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41</v>
      </c>
      <c r="U173" s="2" t="s">
        <v>41</v>
      </c>
      <c r="V173" s="2" t="s">
        <v>41</v>
      </c>
      <c r="W173" s="29" t="s">
        <v>41</v>
      </c>
      <c r="X173" s="1" t="s">
        <v>137</v>
      </c>
      <c r="Y173" s="1" t="s">
        <v>137</v>
      </c>
      <c r="Z173" s="2" t="s">
        <v>41</v>
      </c>
      <c r="AA173" s="1" t="s">
        <v>137</v>
      </c>
      <c r="AB173" s="1" t="s">
        <v>137</v>
      </c>
      <c r="AC173" s="1" t="s">
        <v>137</v>
      </c>
      <c r="AD173" s="1" t="s">
        <v>137</v>
      </c>
      <c r="AE173" s="1" t="s">
        <v>137</v>
      </c>
      <c r="AF173" s="26" t="s">
        <v>137</v>
      </c>
      <c r="AG173" s="1" t="s">
        <v>137</v>
      </c>
      <c r="AH173" s="28" t="s">
        <v>137</v>
      </c>
      <c r="AI173" s="29" t="s">
        <v>43</v>
      </c>
      <c r="AJ173" s="40">
        <v>0</v>
      </c>
    </row>
    <row r="174" spans="1:36" ht="33" x14ac:dyDescent="0.25">
      <c r="A174" t="s">
        <v>290</v>
      </c>
      <c r="B174" s="34" t="s">
        <v>311</v>
      </c>
      <c r="C174" s="34" t="s">
        <v>320</v>
      </c>
      <c r="D174" s="32" t="str">
        <f t="shared" si="2"/>
        <v>Riding academies or stables</v>
      </c>
      <c r="E174" s="37" t="e" cm="1">
        <f t="array" aca="1" ref="E174" ca="1">MID(C174,FIND("(",C174,LOOKUP(2,1/(MID(C174,ROW(INDIRECT("1:"&amp;LEN(C174))),1)="("),ROW(INDIRECT("1:"&amp;LEN(C174)))))+1,FIND(")",C174,LOOKUP(2,1/(MID(C174,ROW(INDIRECT("1:"&amp;LEN(C174))),1)="("),ROW(INDIRECT("1:"&amp;LEN(C174)))))-FIND("(",C174,LOOKUP(2,1/(MID(C174,ROW(INDIRECT("1:"&amp;LEN(C174))),1)="("),ROW(INDIRECT("1:"&amp;LEN(C174)))))-1)</f>
        <v>#N/A</v>
      </c>
      <c r="F174" s="37"/>
      <c r="G174" s="37"/>
      <c r="H174" s="37"/>
      <c r="I174" s="37"/>
      <c r="J174" s="37"/>
      <c r="K174" s="37"/>
      <c r="L174" s="26" t="s">
        <v>47</v>
      </c>
      <c r="M174" s="1" t="s">
        <v>47</v>
      </c>
      <c r="N174" s="1" t="s">
        <v>47</v>
      </c>
      <c r="O174" s="1" t="s">
        <v>47</v>
      </c>
      <c r="P174" s="1" t="s">
        <v>47</v>
      </c>
      <c r="Q174" s="1" t="s">
        <v>47</v>
      </c>
      <c r="R174" s="1" t="s">
        <v>47</v>
      </c>
      <c r="S174" s="1" t="s">
        <v>47</v>
      </c>
      <c r="T174" s="1" t="s">
        <v>47</v>
      </c>
      <c r="U174" s="1" t="s">
        <v>47</v>
      </c>
      <c r="V174" s="1" t="s">
        <v>47</v>
      </c>
      <c r="W174" s="28" t="s">
        <v>47</v>
      </c>
      <c r="X174" s="1" t="s">
        <v>47</v>
      </c>
      <c r="Y174" s="1" t="s">
        <v>47</v>
      </c>
      <c r="Z174" s="1" t="s">
        <v>47</v>
      </c>
      <c r="AA174" s="1" t="s">
        <v>47</v>
      </c>
      <c r="AB174" s="1" t="s">
        <v>47</v>
      </c>
      <c r="AC174" s="1" t="s">
        <v>47</v>
      </c>
      <c r="AD174" s="1" t="s">
        <v>47</v>
      </c>
      <c r="AE174" s="1" t="s">
        <v>37</v>
      </c>
      <c r="AF174" s="26" t="s">
        <v>37</v>
      </c>
      <c r="AG174" s="1" t="s">
        <v>37</v>
      </c>
      <c r="AH174" s="28" t="s">
        <v>37</v>
      </c>
      <c r="AI174" s="28" t="s">
        <v>264</v>
      </c>
      <c r="AJ174" s="40">
        <v>0</v>
      </c>
    </row>
    <row r="175" spans="1:36" ht="33" x14ac:dyDescent="0.25">
      <c r="A175" t="s">
        <v>290</v>
      </c>
      <c r="B175" s="34" t="s">
        <v>311</v>
      </c>
      <c r="C175" s="34" t="s">
        <v>321</v>
      </c>
      <c r="D175" s="32" t="str">
        <f t="shared" si="2"/>
        <v>Trade expositions</v>
      </c>
      <c r="E175" s="37" t="e" cm="1">
        <f t="array" aca="1" ref="E175" ca="1">MID(C175,FIND("(",C175,LOOKUP(2,1/(MID(C175,ROW(INDIRECT("1:"&amp;LEN(C175))),1)="("),ROW(INDIRECT("1:"&amp;LEN(C175)))))+1,FIND(")",C175,LOOKUP(2,1/(MID(C175,ROW(INDIRECT("1:"&amp;LEN(C175))),1)="("),ROW(INDIRECT("1:"&amp;LEN(C175)))))-FIND("(",C175,LOOKUP(2,1/(MID(C175,ROW(INDIRECT("1:"&amp;LEN(C175))),1)="("),ROW(INDIRECT("1:"&amp;LEN(C175)))))-1)</f>
        <v>#N/A</v>
      </c>
      <c r="F175" s="37"/>
      <c r="G175" s="37"/>
      <c r="H175" s="37"/>
      <c r="I175" s="37"/>
      <c r="J175" s="37"/>
      <c r="K175" s="37"/>
      <c r="L175" s="27" t="s">
        <v>41</v>
      </c>
      <c r="M175" s="2" t="s">
        <v>41</v>
      </c>
      <c r="N175" s="2" t="s">
        <v>41</v>
      </c>
      <c r="O175" s="2" t="s">
        <v>41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41</v>
      </c>
      <c r="U175" s="2" t="s">
        <v>41</v>
      </c>
      <c r="V175" s="2" t="s">
        <v>41</v>
      </c>
      <c r="W175" s="29" t="s">
        <v>41</v>
      </c>
      <c r="X175" s="2" t="s">
        <v>41</v>
      </c>
      <c r="Y175" s="2" t="s">
        <v>41</v>
      </c>
      <c r="Z175" s="2" t="s">
        <v>41</v>
      </c>
      <c r="AA175" s="1" t="s">
        <v>81</v>
      </c>
      <c r="AB175" s="1" t="s">
        <v>81</v>
      </c>
      <c r="AC175" s="1" t="s">
        <v>81</v>
      </c>
      <c r="AD175" s="1" t="s">
        <v>81</v>
      </c>
      <c r="AE175" s="1" t="s">
        <v>81</v>
      </c>
      <c r="AF175" s="26" t="s">
        <v>81</v>
      </c>
      <c r="AG175" s="1" t="s">
        <v>81</v>
      </c>
      <c r="AH175" s="28" t="s">
        <v>81</v>
      </c>
      <c r="AI175" s="28" t="s">
        <v>302</v>
      </c>
      <c r="AJ175" s="40">
        <v>0</v>
      </c>
    </row>
    <row r="176" spans="1:36" ht="33" x14ac:dyDescent="0.25">
      <c r="A176" t="s">
        <v>322</v>
      </c>
      <c r="B176" s="34" t="s">
        <v>323</v>
      </c>
      <c r="C176" s="34" t="s">
        <v>324</v>
      </c>
      <c r="D176" s="32" t="str">
        <f t="shared" si="2"/>
        <v>Building materials or contractors' yard</v>
      </c>
      <c r="E176" s="37" t="e" cm="1">
        <f t="array" aca="1" ref="E176" ca="1">MID(C176,FIND("(",C176,LOOKUP(2,1/(MID(C176,ROW(INDIRECT("1:"&amp;LEN(C176))),1)="("),ROW(INDIRECT("1:"&amp;LEN(C176)))))+1,FIND(")",C176,LOOKUP(2,1/(MID(C176,ROW(INDIRECT("1:"&amp;LEN(C176))),1)="("),ROW(INDIRECT("1:"&amp;LEN(C176)))))-FIND("(",C176,LOOKUP(2,1/(MID(C176,ROW(INDIRECT("1:"&amp;LEN(C176))),1)="("),ROW(INDIRECT("1:"&amp;LEN(C176)))))-1)</f>
        <v>#N/A</v>
      </c>
      <c r="F176" s="37"/>
      <c r="G176" s="37"/>
      <c r="H176" s="37"/>
      <c r="I176" s="37"/>
      <c r="J176" s="37"/>
      <c r="K176" s="37"/>
      <c r="L176" s="27" t="s">
        <v>41</v>
      </c>
      <c r="M176" s="2" t="s">
        <v>41</v>
      </c>
      <c r="N176" s="2" t="s">
        <v>41</v>
      </c>
      <c r="O176" s="2" t="s">
        <v>41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41</v>
      </c>
      <c r="U176" s="2" t="s">
        <v>41</v>
      </c>
      <c r="V176" s="2" t="s">
        <v>41</v>
      </c>
      <c r="W176" s="29" t="s">
        <v>41</v>
      </c>
      <c r="X176" s="2" t="s">
        <v>41</v>
      </c>
      <c r="Y176" s="2" t="s">
        <v>41</v>
      </c>
      <c r="Z176" s="2" t="s">
        <v>41</v>
      </c>
      <c r="AA176" s="2" t="s">
        <v>41</v>
      </c>
      <c r="AB176" s="2" t="s">
        <v>41</v>
      </c>
      <c r="AC176" s="2" t="s">
        <v>41</v>
      </c>
      <c r="AD176" s="2" t="s">
        <v>41</v>
      </c>
      <c r="AE176" s="1" t="s">
        <v>325</v>
      </c>
      <c r="AF176" s="26" t="s">
        <v>37</v>
      </c>
      <c r="AG176" s="1" t="s">
        <v>37</v>
      </c>
      <c r="AH176" s="28" t="s">
        <v>37</v>
      </c>
      <c r="AI176" s="28" t="s">
        <v>127</v>
      </c>
      <c r="AJ176" s="40">
        <v>0</v>
      </c>
    </row>
    <row r="177" spans="1:36" ht="33" x14ac:dyDescent="0.25">
      <c r="A177" t="s">
        <v>322</v>
      </c>
      <c r="B177" s="34" t="s">
        <v>323</v>
      </c>
      <c r="C177" s="34" t="s">
        <v>326</v>
      </c>
      <c r="D177" s="32" t="str">
        <f t="shared" si="2"/>
        <v>Depositories for storage of office records, microfilm or computer tapes, or for data processing</v>
      </c>
      <c r="E177" s="37" t="e" cm="1">
        <f t="array" aca="1" ref="E177" ca="1">MID(C177,FIND("(",C177,LOOKUP(2,1/(MID(C177,ROW(INDIRECT("1:"&amp;LEN(C177))),1)="("),ROW(INDIRECT("1:"&amp;LEN(C177)))))+1,FIND(")",C177,LOOKUP(2,1/(MID(C177,ROW(INDIRECT("1:"&amp;LEN(C177))),1)="("),ROW(INDIRECT("1:"&amp;LEN(C177)))))-FIND("(",C177,LOOKUP(2,1/(MID(C177,ROW(INDIRECT("1:"&amp;LEN(C177))),1)="("),ROW(INDIRECT("1:"&amp;LEN(C177)))))-1)</f>
        <v>#N/A</v>
      </c>
      <c r="F177" s="37"/>
      <c r="G177" s="37"/>
      <c r="H177" s="37"/>
      <c r="I177" s="37"/>
      <c r="J177" s="37"/>
      <c r="K177" s="37"/>
      <c r="L177" s="27" t="s">
        <v>41</v>
      </c>
      <c r="M177" s="2" t="s">
        <v>41</v>
      </c>
      <c r="N177" s="2" t="s">
        <v>41</v>
      </c>
      <c r="O177" s="2" t="s">
        <v>41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41</v>
      </c>
      <c r="U177" s="2" t="s">
        <v>41</v>
      </c>
      <c r="V177" s="2" t="s">
        <v>41</v>
      </c>
      <c r="W177" s="29" t="s">
        <v>41</v>
      </c>
      <c r="X177" s="2" t="s">
        <v>41</v>
      </c>
      <c r="Y177" s="2" t="s">
        <v>41</v>
      </c>
      <c r="Z177" s="2" t="s">
        <v>41</v>
      </c>
      <c r="AA177" s="1" t="s">
        <v>81</v>
      </c>
      <c r="AB177" s="1" t="s">
        <v>81</v>
      </c>
      <c r="AC177" s="1" t="s">
        <v>81</v>
      </c>
      <c r="AD177" s="1" t="s">
        <v>81</v>
      </c>
      <c r="AE177" s="1" t="s">
        <v>42</v>
      </c>
      <c r="AF177" s="26" t="s">
        <v>42</v>
      </c>
      <c r="AG177" s="1" t="s">
        <v>42</v>
      </c>
      <c r="AH177" s="28" t="s">
        <v>42</v>
      </c>
      <c r="AI177" s="28" t="s">
        <v>127</v>
      </c>
      <c r="AJ177" s="40">
        <v>0</v>
      </c>
    </row>
    <row r="178" spans="1:36" ht="33" x14ac:dyDescent="0.25">
      <c r="A178" t="s">
        <v>322</v>
      </c>
      <c r="B178" s="34" t="s">
        <v>323</v>
      </c>
      <c r="C178" s="34" t="s">
        <v>327</v>
      </c>
      <c r="D178" s="32" t="str">
        <f t="shared" si="2"/>
        <v>Micro-distribution facility</v>
      </c>
      <c r="E178" s="37" t="e" cm="1">
        <f t="array" aca="1" ref="E178" ca="1">MID(C178,FIND("(",C178,LOOKUP(2,1/(MID(C178,ROW(INDIRECT("1:"&amp;LEN(C178))),1)="("),ROW(INDIRECT("1:"&amp;LEN(C178)))))+1,FIND(")",C178,LOOKUP(2,1/(MID(C178,ROW(INDIRECT("1:"&amp;LEN(C178))),1)="("),ROW(INDIRECT("1:"&amp;LEN(C178)))))-FIND("(",C178,LOOKUP(2,1/(MID(C178,ROW(INDIRECT("1:"&amp;LEN(C178))),1)="("),ROW(INDIRECT("1:"&amp;LEN(C178)))))-1)</f>
        <v>#N/A</v>
      </c>
      <c r="F178" s="37"/>
      <c r="G178" s="37"/>
      <c r="H178" s="37"/>
      <c r="I178" s="37"/>
      <c r="J178" s="37"/>
      <c r="K178" s="37"/>
      <c r="L178" s="27" t="s">
        <v>41</v>
      </c>
      <c r="M178" s="2" t="s">
        <v>41</v>
      </c>
      <c r="N178" s="2" t="s">
        <v>41</v>
      </c>
      <c r="O178" s="2" t="s">
        <v>41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41</v>
      </c>
      <c r="U178" s="2" t="s">
        <v>41</v>
      </c>
      <c r="V178" s="2" t="s">
        <v>41</v>
      </c>
      <c r="W178" s="29" t="s">
        <v>41</v>
      </c>
      <c r="X178" s="1" t="s">
        <v>328</v>
      </c>
      <c r="Y178" s="1" t="s">
        <v>328</v>
      </c>
      <c r="Z178" s="2" t="s">
        <v>41</v>
      </c>
      <c r="AA178" s="1" t="s">
        <v>81</v>
      </c>
      <c r="AB178" s="1" t="s">
        <v>81</v>
      </c>
      <c r="AC178" s="1" t="s">
        <v>81</v>
      </c>
      <c r="AD178" s="1" t="s">
        <v>81</v>
      </c>
      <c r="AE178" s="2" t="s">
        <v>41</v>
      </c>
      <c r="AF178" s="27" t="s">
        <v>41</v>
      </c>
      <c r="AG178" s="2" t="s">
        <v>41</v>
      </c>
      <c r="AH178" s="29" t="s">
        <v>41</v>
      </c>
      <c r="AI178" s="28" t="s">
        <v>127</v>
      </c>
      <c r="AJ178" s="40">
        <v>0</v>
      </c>
    </row>
    <row r="179" spans="1:36" ht="33" x14ac:dyDescent="0.25">
      <c r="A179" t="s">
        <v>322</v>
      </c>
      <c r="B179" s="34" t="s">
        <v>323</v>
      </c>
      <c r="C179" s="34" t="s">
        <v>329</v>
      </c>
      <c r="D179" s="32" t="str">
        <f t="shared" si="2"/>
        <v>Moving or storage offices</v>
      </c>
      <c r="E179" s="37" t="e" cm="1">
        <f t="array" aca="1" ref="E179" ca="1">MID(C179,FIND("(",C179,LOOKUP(2,1/(MID(C179,ROW(INDIRECT("1:"&amp;LEN(C179))),1)="("),ROW(INDIRECT("1:"&amp;LEN(C179)))))+1,FIND(")",C179,LOOKUP(2,1/(MID(C179,ROW(INDIRECT("1:"&amp;LEN(C179))),1)="("),ROW(INDIRECT("1:"&amp;LEN(C179)))))-FIND("(",C179,LOOKUP(2,1/(MID(C179,ROW(INDIRECT("1:"&amp;LEN(C179))),1)="("),ROW(INDIRECT("1:"&amp;LEN(C179)))))-1)</f>
        <v>#N/A</v>
      </c>
      <c r="F179" s="37"/>
      <c r="G179" s="37"/>
      <c r="H179" s="37"/>
      <c r="I179" s="37"/>
      <c r="J179" s="37"/>
      <c r="K179" s="37"/>
      <c r="L179" s="27" t="s">
        <v>41</v>
      </c>
      <c r="M179" s="2" t="s">
        <v>41</v>
      </c>
      <c r="N179" s="2" t="s">
        <v>41</v>
      </c>
      <c r="O179" s="2" t="s">
        <v>41</v>
      </c>
      <c r="P179" s="2" t="s">
        <v>41</v>
      </c>
      <c r="Q179" s="2" t="s">
        <v>41</v>
      </c>
      <c r="R179" s="2" t="s">
        <v>41</v>
      </c>
      <c r="S179" s="2" t="s">
        <v>41</v>
      </c>
      <c r="T179" s="2" t="s">
        <v>41</v>
      </c>
      <c r="U179" s="2" t="s">
        <v>41</v>
      </c>
      <c r="V179" s="2" t="s">
        <v>41</v>
      </c>
      <c r="W179" s="29" t="s">
        <v>41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  <c r="AD179" s="2" t="s">
        <v>41</v>
      </c>
      <c r="AE179" s="1" t="s">
        <v>42</v>
      </c>
      <c r="AF179" s="26" t="s">
        <v>35</v>
      </c>
      <c r="AG179" s="1" t="s">
        <v>35</v>
      </c>
      <c r="AH179" s="28" t="s">
        <v>35</v>
      </c>
      <c r="AI179" s="28" t="s">
        <v>127</v>
      </c>
      <c r="AJ179" s="40">
        <v>0</v>
      </c>
    </row>
    <row r="180" spans="1:36" ht="45" x14ac:dyDescent="0.25">
      <c r="A180" t="s">
        <v>322</v>
      </c>
      <c r="B180" s="34" t="s">
        <v>323</v>
      </c>
      <c r="C180" s="34" t="s">
        <v>330</v>
      </c>
      <c r="D180" s="32" t="str">
        <f t="shared" si="2"/>
        <v>#Self-service storage facility#</v>
      </c>
      <c r="E180" s="37" t="e" cm="1">
        <f t="array" aca="1" ref="E180" ca="1">MID(C180,FIND("(",C180,LOOKUP(2,1/(MID(C180,ROW(INDIRECT("1:"&amp;LEN(C180))),1)="("),ROW(INDIRECT("1:"&amp;LEN(C180)))))+1,FIND(")",C180,LOOKUP(2,1/(MID(C180,ROW(INDIRECT("1:"&amp;LEN(C180))),1)="("),ROW(INDIRECT("1:"&amp;LEN(C180)))))-FIND("(",C180,LOOKUP(2,1/(MID(C180,ROW(INDIRECT("1:"&amp;LEN(C180))),1)="("),ROW(INDIRECT("1:"&amp;LEN(C180)))))-1)</f>
        <v>#N/A</v>
      </c>
      <c r="F180" s="37"/>
      <c r="G180" s="37"/>
      <c r="H180" s="37"/>
      <c r="I180" s="37"/>
      <c r="J180" s="37"/>
      <c r="K180" s="44" t="s">
        <v>525</v>
      </c>
      <c r="L180" s="27" t="s">
        <v>41</v>
      </c>
      <c r="M180" s="2" t="s">
        <v>41</v>
      </c>
      <c r="N180" s="2" t="s">
        <v>41</v>
      </c>
      <c r="O180" s="2" t="s">
        <v>41</v>
      </c>
      <c r="P180" s="2" t="s">
        <v>41</v>
      </c>
      <c r="Q180" s="2" t="s">
        <v>41</v>
      </c>
      <c r="R180" s="2" t="s">
        <v>41</v>
      </c>
      <c r="S180" s="2" t="s">
        <v>41</v>
      </c>
      <c r="T180" s="2" t="s">
        <v>41</v>
      </c>
      <c r="U180" s="2" t="s">
        <v>41</v>
      </c>
      <c r="V180" s="2" t="s">
        <v>41</v>
      </c>
      <c r="W180" s="29" t="s">
        <v>41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  <c r="AD180" s="2" t="s">
        <v>41</v>
      </c>
      <c r="AE180" s="1" t="s">
        <v>42</v>
      </c>
      <c r="AF180" s="26" t="s">
        <v>157</v>
      </c>
      <c r="AG180" s="1" t="s">
        <v>157</v>
      </c>
      <c r="AH180" s="28" t="s">
        <v>157</v>
      </c>
      <c r="AI180" s="28" t="s">
        <v>127</v>
      </c>
      <c r="AJ180" s="40">
        <v>0</v>
      </c>
    </row>
    <row r="181" spans="1:36" ht="33" x14ac:dyDescent="0.25">
      <c r="A181" t="s">
        <v>322</v>
      </c>
      <c r="B181" s="34" t="s">
        <v>323</v>
      </c>
      <c r="C181" s="34" t="s">
        <v>331</v>
      </c>
      <c r="D181" s="32" t="str">
        <f t="shared" si="2"/>
        <v>Trucking terminals or motor freight stations</v>
      </c>
      <c r="E181" s="37" t="e" cm="1">
        <f t="array" aca="1" ref="E181" ca="1">MID(C181,FIND("(",C181,LOOKUP(2,1/(MID(C181,ROW(INDIRECT("1:"&amp;LEN(C181))),1)="("),ROW(INDIRECT("1:"&amp;LEN(C181)))))+1,FIND(")",C181,LOOKUP(2,1/(MID(C181,ROW(INDIRECT("1:"&amp;LEN(C181))),1)="("),ROW(INDIRECT("1:"&amp;LEN(C181)))))-FIND("(",C181,LOOKUP(2,1/(MID(C181,ROW(INDIRECT("1:"&amp;LEN(C181))),1)="("),ROW(INDIRECT("1:"&amp;LEN(C181)))))-1)</f>
        <v>#N/A</v>
      </c>
      <c r="F181" s="37"/>
      <c r="G181" s="37"/>
      <c r="H181" s="37"/>
      <c r="I181" s="37"/>
      <c r="J181" s="37"/>
      <c r="K181" s="37"/>
      <c r="L181" s="27" t="s">
        <v>41</v>
      </c>
      <c r="M181" s="2" t="s">
        <v>41</v>
      </c>
      <c r="N181" s="2" t="s">
        <v>41</v>
      </c>
      <c r="O181" s="2" t="s">
        <v>41</v>
      </c>
      <c r="P181" s="2" t="s">
        <v>41</v>
      </c>
      <c r="Q181" s="2" t="s">
        <v>41</v>
      </c>
      <c r="R181" s="2" t="s">
        <v>41</v>
      </c>
      <c r="S181" s="2" t="s">
        <v>41</v>
      </c>
      <c r="T181" s="2" t="s">
        <v>41</v>
      </c>
      <c r="U181" s="2" t="s">
        <v>41</v>
      </c>
      <c r="V181" s="2" t="s">
        <v>41</v>
      </c>
      <c r="W181" s="29" t="s">
        <v>41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  <c r="AD181" s="2" t="s">
        <v>41</v>
      </c>
      <c r="AE181" s="1" t="s">
        <v>121</v>
      </c>
      <c r="AF181" s="26" t="s">
        <v>37</v>
      </c>
      <c r="AG181" s="1" t="s">
        <v>37</v>
      </c>
      <c r="AH181" s="28" t="s">
        <v>37</v>
      </c>
      <c r="AI181" s="28" t="s">
        <v>127</v>
      </c>
      <c r="AJ181" s="40">
        <v>0</v>
      </c>
    </row>
    <row r="182" spans="1:36" ht="33" x14ac:dyDescent="0.25">
      <c r="A182" t="s">
        <v>322</v>
      </c>
      <c r="B182" s="34" t="s">
        <v>323</v>
      </c>
      <c r="C182" s="34" t="s">
        <v>332</v>
      </c>
      <c r="D182" s="32" t="str">
        <f t="shared" si="2"/>
        <v>Warehouses</v>
      </c>
      <c r="E182" s="37" t="e" cm="1">
        <f t="array" aca="1" ref="E182" ca="1">MID(C182,FIND("(",C182,LOOKUP(2,1/(MID(C182,ROW(INDIRECT("1:"&amp;LEN(C182))),1)="("),ROW(INDIRECT("1:"&amp;LEN(C182)))))+1,FIND(")",C182,LOOKUP(2,1/(MID(C182,ROW(INDIRECT("1:"&amp;LEN(C182))),1)="("),ROW(INDIRECT("1:"&amp;LEN(C182)))))-FIND("(",C182,LOOKUP(2,1/(MID(C182,ROW(INDIRECT("1:"&amp;LEN(C182))),1)="("),ROW(INDIRECT("1:"&amp;LEN(C182)))))-1)</f>
        <v>#N/A</v>
      </c>
      <c r="F182" s="37"/>
      <c r="G182" s="37"/>
      <c r="H182" s="37"/>
      <c r="I182" s="37"/>
      <c r="J182" s="37"/>
      <c r="K182" s="37"/>
      <c r="L182" s="27" t="s">
        <v>41</v>
      </c>
      <c r="M182" s="2" t="s">
        <v>41</v>
      </c>
      <c r="N182" s="2" t="s">
        <v>41</v>
      </c>
      <c r="O182" s="2" t="s">
        <v>41</v>
      </c>
      <c r="P182" s="2" t="s">
        <v>41</v>
      </c>
      <c r="Q182" s="2" t="s">
        <v>41</v>
      </c>
      <c r="R182" s="2" t="s">
        <v>41</v>
      </c>
      <c r="S182" s="2" t="s">
        <v>41</v>
      </c>
      <c r="T182" s="2" t="s">
        <v>41</v>
      </c>
      <c r="U182" s="2" t="s">
        <v>41</v>
      </c>
      <c r="V182" s="2" t="s">
        <v>41</v>
      </c>
      <c r="W182" s="29" t="s">
        <v>41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  <c r="AD182" s="2" t="s">
        <v>41</v>
      </c>
      <c r="AE182" s="1" t="s">
        <v>42</v>
      </c>
      <c r="AF182" s="26" t="s">
        <v>35</v>
      </c>
      <c r="AG182" s="1" t="s">
        <v>35</v>
      </c>
      <c r="AH182" s="28" t="s">
        <v>35</v>
      </c>
      <c r="AI182" s="28" t="s">
        <v>127</v>
      </c>
      <c r="AJ182" s="40">
        <v>0</v>
      </c>
    </row>
    <row r="183" spans="1:36" ht="33" x14ac:dyDescent="0.25">
      <c r="A183" t="s">
        <v>322</v>
      </c>
      <c r="B183" s="34" t="s">
        <v>323</v>
      </c>
      <c r="C183" s="34" t="s">
        <v>333</v>
      </c>
      <c r="D183" s="32" t="str">
        <f t="shared" si="2"/>
        <v>Wholesale establishments</v>
      </c>
      <c r="E183" s="37" t="e" cm="1">
        <f t="array" aca="1" ref="E183" ca="1">MID(C183,FIND("(",C183,LOOKUP(2,1/(MID(C183,ROW(INDIRECT("1:"&amp;LEN(C183))),1)="("),ROW(INDIRECT("1:"&amp;LEN(C183)))))+1,FIND(")",C183,LOOKUP(2,1/(MID(C183,ROW(INDIRECT("1:"&amp;LEN(C183))),1)="("),ROW(INDIRECT("1:"&amp;LEN(C183)))))-FIND("(",C183,LOOKUP(2,1/(MID(C183,ROW(INDIRECT("1:"&amp;LEN(C183))),1)="("),ROW(INDIRECT("1:"&amp;LEN(C183)))))-1)</f>
        <v>#N/A</v>
      </c>
      <c r="F183" s="37"/>
      <c r="G183" s="37"/>
      <c r="H183" s="37"/>
      <c r="I183" s="37"/>
      <c r="J183" s="37"/>
      <c r="K183" s="37"/>
      <c r="L183" s="27" t="s">
        <v>41</v>
      </c>
      <c r="M183" s="2" t="s">
        <v>41</v>
      </c>
      <c r="N183" s="2" t="s">
        <v>41</v>
      </c>
      <c r="O183" s="2" t="s">
        <v>41</v>
      </c>
      <c r="P183" s="2" t="s">
        <v>41</v>
      </c>
      <c r="Q183" s="2" t="s">
        <v>41</v>
      </c>
      <c r="R183" s="2" t="s">
        <v>41</v>
      </c>
      <c r="S183" s="2" t="s">
        <v>41</v>
      </c>
      <c r="T183" s="2" t="s">
        <v>41</v>
      </c>
      <c r="U183" s="2" t="s">
        <v>41</v>
      </c>
      <c r="V183" s="2" t="s">
        <v>41</v>
      </c>
      <c r="W183" s="29" t="s">
        <v>41</v>
      </c>
      <c r="X183" s="1" t="s">
        <v>91</v>
      </c>
      <c r="Y183" s="1" t="s">
        <v>91</v>
      </c>
      <c r="Z183" s="2" t="s">
        <v>41</v>
      </c>
      <c r="AA183" s="1" t="s">
        <v>91</v>
      </c>
      <c r="AB183" s="1" t="s">
        <v>91</v>
      </c>
      <c r="AC183" s="1" t="s">
        <v>91</v>
      </c>
      <c r="AD183" s="1" t="s">
        <v>91</v>
      </c>
      <c r="AE183" s="1" t="s">
        <v>35</v>
      </c>
      <c r="AF183" s="26" t="s">
        <v>35</v>
      </c>
      <c r="AG183" s="1" t="s">
        <v>35</v>
      </c>
      <c r="AH183" s="28" t="s">
        <v>35</v>
      </c>
      <c r="AI183" s="28" t="s">
        <v>334</v>
      </c>
      <c r="AJ183" s="40">
        <v>0</v>
      </c>
    </row>
    <row r="184" spans="1:36" ht="33" x14ac:dyDescent="0.25">
      <c r="A184" t="s">
        <v>335</v>
      </c>
      <c r="B184" s="34" t="s">
        <v>336</v>
      </c>
      <c r="C184" s="34" t="s">
        <v>337</v>
      </c>
      <c r="D184" s="32" t="str">
        <f t="shared" si="2"/>
        <v>Coal or gas storage</v>
      </c>
      <c r="E184" s="37" t="e" cm="1">
        <f t="array" aca="1" ref="E184" ca="1">MID(C184,FIND("(",C184,LOOKUP(2,1/(MID(C184,ROW(INDIRECT("1:"&amp;LEN(C184))),1)="("),ROW(INDIRECT("1:"&amp;LEN(C184)))))+1,FIND(")",C184,LOOKUP(2,1/(MID(C184,ROW(INDIRECT("1:"&amp;LEN(C184))),1)="("),ROW(INDIRECT("1:"&amp;LEN(C184)))))-FIND("(",C184,LOOKUP(2,1/(MID(C184,ROW(INDIRECT("1:"&amp;LEN(C184))),1)="("),ROW(INDIRECT("1:"&amp;LEN(C184)))))-1)</f>
        <v>#N/A</v>
      </c>
      <c r="F184" s="37"/>
      <c r="G184" s="37"/>
      <c r="H184" s="37"/>
      <c r="I184" s="37"/>
      <c r="J184" s="37"/>
      <c r="K184" s="37"/>
      <c r="L184" s="27" t="s">
        <v>41</v>
      </c>
      <c r="M184" s="2" t="s">
        <v>41</v>
      </c>
      <c r="N184" s="2" t="s">
        <v>41</v>
      </c>
      <c r="O184" s="2" t="s">
        <v>41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41</v>
      </c>
      <c r="U184" s="2" t="s">
        <v>41</v>
      </c>
      <c r="V184" s="2" t="s">
        <v>41</v>
      </c>
      <c r="W184" s="29" t="s">
        <v>41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  <c r="AD184" s="2" t="s">
        <v>41</v>
      </c>
      <c r="AE184" s="29" t="s">
        <v>41</v>
      </c>
      <c r="AF184" s="1" t="s">
        <v>37</v>
      </c>
      <c r="AG184" s="1" t="s">
        <v>37</v>
      </c>
      <c r="AH184" s="28" t="s">
        <v>37</v>
      </c>
      <c r="AI184" s="28" t="s">
        <v>127</v>
      </c>
      <c r="AJ184" s="40">
        <v>0</v>
      </c>
    </row>
    <row r="185" spans="1:36" ht="33" x14ac:dyDescent="0.25">
      <c r="A185" t="s">
        <v>335</v>
      </c>
      <c r="B185" s="34" t="s">
        <v>336</v>
      </c>
      <c r="C185" s="34" t="s">
        <v>338</v>
      </c>
      <c r="D185" s="32" t="str">
        <f t="shared" si="2"/>
        <v>Explosives storage, when not prohibited by other ordinances</v>
      </c>
      <c r="E185" s="37" t="e" cm="1">
        <f t="array" aca="1" ref="E185" ca="1">MID(C185,FIND("(",C185,LOOKUP(2,1/(MID(C185,ROW(INDIRECT("1:"&amp;LEN(C185))),1)="("),ROW(INDIRECT("1:"&amp;LEN(C185)))))+1,FIND(")",C185,LOOKUP(2,1/(MID(C185,ROW(INDIRECT("1:"&amp;LEN(C185))),1)="("),ROW(INDIRECT("1:"&amp;LEN(C185)))))-FIND("(",C185,LOOKUP(2,1/(MID(C185,ROW(INDIRECT("1:"&amp;LEN(C185))),1)="("),ROW(INDIRECT("1:"&amp;LEN(C185)))))-1)</f>
        <v>#N/A</v>
      </c>
      <c r="F185" s="37"/>
      <c r="G185" s="37"/>
      <c r="H185" s="37"/>
      <c r="I185" s="37"/>
      <c r="J185" s="37"/>
      <c r="K185" s="37"/>
      <c r="L185" s="27" t="s">
        <v>41</v>
      </c>
      <c r="M185" s="2" t="s">
        <v>41</v>
      </c>
      <c r="N185" s="2" t="s">
        <v>41</v>
      </c>
      <c r="O185" s="2" t="s">
        <v>41</v>
      </c>
      <c r="P185" s="2" t="s">
        <v>41</v>
      </c>
      <c r="Q185" s="2" t="s">
        <v>41</v>
      </c>
      <c r="R185" s="2" t="s">
        <v>41</v>
      </c>
      <c r="S185" s="2" t="s">
        <v>41</v>
      </c>
      <c r="T185" s="2" t="s">
        <v>41</v>
      </c>
      <c r="U185" s="2" t="s">
        <v>41</v>
      </c>
      <c r="V185" s="2" t="s">
        <v>41</v>
      </c>
      <c r="W185" s="29" t="s">
        <v>41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41</v>
      </c>
      <c r="AD185" s="2" t="s">
        <v>41</v>
      </c>
      <c r="AE185" s="29" t="s">
        <v>41</v>
      </c>
      <c r="AF185" s="1" t="s">
        <v>37</v>
      </c>
      <c r="AG185" s="1" t="s">
        <v>37</v>
      </c>
      <c r="AH185" s="28" t="s">
        <v>37</v>
      </c>
      <c r="AI185" s="28" t="s">
        <v>127</v>
      </c>
      <c r="AJ185" s="40">
        <v>0</v>
      </c>
    </row>
    <row r="186" spans="1:36" ht="33" x14ac:dyDescent="0.25">
      <c r="A186" t="s">
        <v>335</v>
      </c>
      <c r="B186" s="34" t="s">
        <v>336</v>
      </c>
      <c r="C186" s="34" t="s">
        <v>339</v>
      </c>
      <c r="D186" s="32" t="str">
        <f t="shared" si="2"/>
        <v>Grain storage</v>
      </c>
      <c r="E186" s="37" t="e" cm="1">
        <f t="array" aca="1" ref="E186" ca="1">MID(C186,FIND("(",C186,LOOKUP(2,1/(MID(C186,ROW(INDIRECT("1:"&amp;LEN(C186))),1)="("),ROW(INDIRECT("1:"&amp;LEN(C186)))))+1,FIND(")",C186,LOOKUP(2,1/(MID(C186,ROW(INDIRECT("1:"&amp;LEN(C186))),1)="("),ROW(INDIRECT("1:"&amp;LEN(C186)))))-FIND("(",C186,LOOKUP(2,1/(MID(C186,ROW(INDIRECT("1:"&amp;LEN(C186))),1)="("),ROW(INDIRECT("1:"&amp;LEN(C186)))))-1)</f>
        <v>#N/A</v>
      </c>
      <c r="F186" s="37"/>
      <c r="G186" s="37"/>
      <c r="H186" s="37"/>
      <c r="I186" s="37"/>
      <c r="J186" s="37"/>
      <c r="K186" s="37"/>
      <c r="L186" s="27" t="s">
        <v>41</v>
      </c>
      <c r="M186" s="2" t="s">
        <v>41</v>
      </c>
      <c r="N186" s="2" t="s">
        <v>41</v>
      </c>
      <c r="O186" s="2" t="s">
        <v>41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41</v>
      </c>
      <c r="U186" s="2" t="s">
        <v>41</v>
      </c>
      <c r="V186" s="2" t="s">
        <v>41</v>
      </c>
      <c r="W186" s="29" t="s">
        <v>41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41</v>
      </c>
      <c r="AD186" s="2" t="s">
        <v>41</v>
      </c>
      <c r="AE186" s="29" t="s">
        <v>41</v>
      </c>
      <c r="AF186" s="1" t="s">
        <v>37</v>
      </c>
      <c r="AG186" s="1" t="s">
        <v>37</v>
      </c>
      <c r="AH186" s="28" t="s">
        <v>37</v>
      </c>
      <c r="AI186" s="28" t="s">
        <v>127</v>
      </c>
      <c r="AJ186" s="40">
        <v>0</v>
      </c>
    </row>
    <row r="187" spans="1:36" ht="33" x14ac:dyDescent="0.25">
      <c r="A187" t="s">
        <v>335</v>
      </c>
      <c r="B187" s="34" t="s">
        <v>336</v>
      </c>
      <c r="C187" s="34" t="s">
        <v>340</v>
      </c>
      <c r="D187" s="32" t="str">
        <f t="shared" si="2"/>
        <v>Junk or salvage yards, including auto wrecking or similar establishments</v>
      </c>
      <c r="E187" s="37" t="e" cm="1">
        <f t="array" aca="1" ref="E187" ca="1">MID(C187,FIND("(",C187,LOOKUP(2,1/(MID(C187,ROW(INDIRECT("1:"&amp;LEN(C187))),1)="("),ROW(INDIRECT("1:"&amp;LEN(C187)))))+1,FIND(")",C187,LOOKUP(2,1/(MID(C187,ROW(INDIRECT("1:"&amp;LEN(C187))),1)="("),ROW(INDIRECT("1:"&amp;LEN(C187)))))-FIND("(",C187,LOOKUP(2,1/(MID(C187,ROW(INDIRECT("1:"&amp;LEN(C187))),1)="("),ROW(INDIRECT("1:"&amp;LEN(C187)))))-1)</f>
        <v>#N/A</v>
      </c>
      <c r="F187" s="37"/>
      <c r="G187" s="37"/>
      <c r="H187" s="37"/>
      <c r="I187" s="37"/>
      <c r="J187" s="37"/>
      <c r="K187" s="37"/>
      <c r="L187" s="27" t="s">
        <v>41</v>
      </c>
      <c r="M187" s="2" t="s">
        <v>41</v>
      </c>
      <c r="N187" s="2" t="s">
        <v>41</v>
      </c>
      <c r="O187" s="2" t="s">
        <v>41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41</v>
      </c>
      <c r="U187" s="2" t="s">
        <v>41</v>
      </c>
      <c r="V187" s="2" t="s">
        <v>41</v>
      </c>
      <c r="W187" s="29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  <c r="AD187" s="2" t="s">
        <v>41</v>
      </c>
      <c r="AE187" s="29" t="s">
        <v>41</v>
      </c>
      <c r="AF187" s="1" t="s">
        <v>37</v>
      </c>
      <c r="AG187" s="1" t="s">
        <v>37</v>
      </c>
      <c r="AH187" s="28" t="s">
        <v>37</v>
      </c>
      <c r="AI187" s="28" t="s">
        <v>127</v>
      </c>
      <c r="AJ187" s="40">
        <v>0</v>
      </c>
    </row>
    <row r="188" spans="1:36" ht="33" x14ac:dyDescent="0.25">
      <c r="A188" t="s">
        <v>335</v>
      </c>
      <c r="B188" s="34" t="s">
        <v>336</v>
      </c>
      <c r="C188" s="34" t="s">
        <v>341</v>
      </c>
      <c r="D188" s="32" t="str">
        <f t="shared" si="2"/>
        <v>Lumber yard</v>
      </c>
      <c r="E188" s="37" t="e" cm="1">
        <f t="array" aca="1" ref="E188" ca="1">MID(C188,FIND("(",C188,LOOKUP(2,1/(MID(C188,ROW(INDIRECT("1:"&amp;LEN(C188))),1)="("),ROW(INDIRECT("1:"&amp;LEN(C188)))))+1,FIND(")",C188,LOOKUP(2,1/(MID(C188,ROW(INDIRECT("1:"&amp;LEN(C188))),1)="("),ROW(INDIRECT("1:"&amp;LEN(C188)))))-FIND("(",C188,LOOKUP(2,1/(MID(C188,ROW(INDIRECT("1:"&amp;LEN(C188))),1)="("),ROW(INDIRECT("1:"&amp;LEN(C188)))))-1)</f>
        <v>#N/A</v>
      </c>
      <c r="F188" s="37"/>
      <c r="G188" s="37"/>
      <c r="H188" s="37"/>
      <c r="I188" s="37"/>
      <c r="J188" s="37"/>
      <c r="K188" s="37"/>
      <c r="L188" s="27" t="s">
        <v>41</v>
      </c>
      <c r="M188" s="2" t="s">
        <v>41</v>
      </c>
      <c r="N188" s="2" t="s">
        <v>41</v>
      </c>
      <c r="O188" s="2" t="s">
        <v>41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41</v>
      </c>
      <c r="U188" s="2" t="s">
        <v>41</v>
      </c>
      <c r="V188" s="2" t="s">
        <v>41</v>
      </c>
      <c r="W188" s="29" t="s">
        <v>41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  <c r="AD188" s="2" t="s">
        <v>41</v>
      </c>
      <c r="AE188" s="29" t="s">
        <v>41</v>
      </c>
      <c r="AF188" s="1" t="s">
        <v>37</v>
      </c>
      <c r="AG188" s="1" t="s">
        <v>37</v>
      </c>
      <c r="AH188" s="28" t="s">
        <v>37</v>
      </c>
      <c r="AI188" s="28" t="s">
        <v>127</v>
      </c>
      <c r="AJ188" s="40">
        <v>0</v>
      </c>
    </row>
    <row r="189" spans="1:36" ht="33" x14ac:dyDescent="0.25">
      <c r="A189" t="s">
        <v>335</v>
      </c>
      <c r="B189" s="34" t="s">
        <v>336</v>
      </c>
      <c r="C189" s="34" t="s">
        <v>342</v>
      </c>
      <c r="D189" s="32" t="str">
        <f t="shared" si="2"/>
        <v>Manure, peat or topsoil storage</v>
      </c>
      <c r="E189" s="37" t="e" cm="1">
        <f t="array" aca="1" ref="E189" ca="1">MID(C189,FIND("(",C189,LOOKUP(2,1/(MID(C189,ROW(INDIRECT("1:"&amp;LEN(C189))),1)="("),ROW(INDIRECT("1:"&amp;LEN(C189)))))+1,FIND(")",C189,LOOKUP(2,1/(MID(C189,ROW(INDIRECT("1:"&amp;LEN(C189))),1)="("),ROW(INDIRECT("1:"&amp;LEN(C189)))))-FIND("(",C189,LOOKUP(2,1/(MID(C189,ROW(INDIRECT("1:"&amp;LEN(C189))),1)="("),ROW(INDIRECT("1:"&amp;LEN(C189)))))-1)</f>
        <v>#N/A</v>
      </c>
      <c r="F189" s="37"/>
      <c r="G189" s="37"/>
      <c r="H189" s="37"/>
      <c r="I189" s="37"/>
      <c r="J189" s="37"/>
      <c r="K189" s="37"/>
      <c r="L189" s="27" t="s">
        <v>41</v>
      </c>
      <c r="M189" s="2" t="s">
        <v>41</v>
      </c>
      <c r="N189" s="2" t="s">
        <v>41</v>
      </c>
      <c r="O189" s="2" t="s">
        <v>41</v>
      </c>
      <c r="P189" s="2" t="s">
        <v>41</v>
      </c>
      <c r="Q189" s="2" t="s">
        <v>41</v>
      </c>
      <c r="R189" s="2" t="s">
        <v>41</v>
      </c>
      <c r="S189" s="2" t="s">
        <v>41</v>
      </c>
      <c r="T189" s="2" t="s">
        <v>41</v>
      </c>
      <c r="U189" s="2" t="s">
        <v>41</v>
      </c>
      <c r="V189" s="2" t="s">
        <v>41</v>
      </c>
      <c r="W189" s="29" t="s">
        <v>41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  <c r="AD189" s="2" t="s">
        <v>41</v>
      </c>
      <c r="AE189" s="29" t="s">
        <v>41</v>
      </c>
      <c r="AF189" s="1" t="s">
        <v>37</v>
      </c>
      <c r="AG189" s="1" t="s">
        <v>37</v>
      </c>
      <c r="AH189" s="28" t="s">
        <v>37</v>
      </c>
      <c r="AI189" s="28" t="s">
        <v>127</v>
      </c>
      <c r="AJ189" s="40">
        <v>0</v>
      </c>
    </row>
    <row r="190" spans="1:36" ht="33" x14ac:dyDescent="0.25">
      <c r="A190" t="s">
        <v>335</v>
      </c>
      <c r="B190" s="34" t="s">
        <v>336</v>
      </c>
      <c r="C190" s="34" t="s">
        <v>343</v>
      </c>
      <c r="D190" s="32" t="str">
        <f t="shared" si="2"/>
        <v>Petroleum or petroleum products, storage or handling</v>
      </c>
      <c r="E190" s="37" t="e" cm="1">
        <f t="array" aca="1" ref="E190" ca="1">MID(C190,FIND("(",C190,LOOKUP(2,1/(MID(C190,ROW(INDIRECT("1:"&amp;LEN(C190))),1)="("),ROW(INDIRECT("1:"&amp;LEN(C190)))))+1,FIND(")",C190,LOOKUP(2,1/(MID(C190,ROW(INDIRECT("1:"&amp;LEN(C190))),1)="("),ROW(INDIRECT("1:"&amp;LEN(C190)))))-FIND("(",C190,LOOKUP(2,1/(MID(C190,ROW(INDIRECT("1:"&amp;LEN(C190))),1)="("),ROW(INDIRECT("1:"&amp;LEN(C190)))))-1)</f>
        <v>#N/A</v>
      </c>
      <c r="F190" s="37"/>
      <c r="G190" s="37"/>
      <c r="H190" s="37"/>
      <c r="I190" s="37"/>
      <c r="J190" s="37"/>
      <c r="K190" s="37"/>
      <c r="L190" s="27" t="s">
        <v>41</v>
      </c>
      <c r="M190" s="2" t="s">
        <v>41</v>
      </c>
      <c r="N190" s="2" t="s">
        <v>41</v>
      </c>
      <c r="O190" s="2" t="s">
        <v>41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41</v>
      </c>
      <c r="U190" s="2" t="s">
        <v>41</v>
      </c>
      <c r="V190" s="2" t="s">
        <v>41</v>
      </c>
      <c r="W190" s="29" t="s">
        <v>41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  <c r="AD190" s="2" t="s">
        <v>41</v>
      </c>
      <c r="AE190" s="29" t="s">
        <v>41</v>
      </c>
      <c r="AF190" s="1" t="s">
        <v>37</v>
      </c>
      <c r="AG190" s="1" t="s">
        <v>37</v>
      </c>
      <c r="AH190" s="28" t="s">
        <v>37</v>
      </c>
      <c r="AI190" s="28" t="s">
        <v>127</v>
      </c>
      <c r="AJ190" s="40">
        <v>0</v>
      </c>
    </row>
    <row r="191" spans="1:36" ht="33" x14ac:dyDescent="0.25">
      <c r="A191" t="s">
        <v>335</v>
      </c>
      <c r="B191" s="34" t="s">
        <v>336</v>
      </c>
      <c r="C191" s="34" t="s">
        <v>344</v>
      </c>
      <c r="D191" s="32" t="str">
        <f t="shared" si="2"/>
        <v>Refrigerating plants</v>
      </c>
      <c r="E191" s="37" t="e" cm="1">
        <f t="array" aca="1" ref="E191" ca="1">MID(C191,FIND("(",C191,LOOKUP(2,1/(MID(C191,ROW(INDIRECT("1:"&amp;LEN(C191))),1)="("),ROW(INDIRECT("1:"&amp;LEN(C191)))))+1,FIND(")",C191,LOOKUP(2,1/(MID(C191,ROW(INDIRECT("1:"&amp;LEN(C191))),1)="("),ROW(INDIRECT("1:"&amp;LEN(C191)))))-FIND("(",C191,LOOKUP(2,1/(MID(C191,ROW(INDIRECT("1:"&amp;LEN(C191))),1)="("),ROW(INDIRECT("1:"&amp;LEN(C191)))))-1)</f>
        <v>#N/A</v>
      </c>
      <c r="F191" s="37"/>
      <c r="G191" s="37"/>
      <c r="H191" s="37"/>
      <c r="I191" s="37"/>
      <c r="J191" s="37"/>
      <c r="K191" s="37"/>
      <c r="L191" s="27" t="s">
        <v>41</v>
      </c>
      <c r="M191" s="2" t="s">
        <v>41</v>
      </c>
      <c r="N191" s="2" t="s">
        <v>41</v>
      </c>
      <c r="O191" s="2" t="s">
        <v>41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41</v>
      </c>
      <c r="U191" s="2" t="s">
        <v>41</v>
      </c>
      <c r="V191" s="2" t="s">
        <v>41</v>
      </c>
      <c r="W191" s="29" t="s">
        <v>41</v>
      </c>
      <c r="X191" s="2" t="s">
        <v>41</v>
      </c>
      <c r="Y191" s="2" t="s">
        <v>41</v>
      </c>
      <c r="Z191" s="2" t="s">
        <v>41</v>
      </c>
      <c r="AA191" s="2" t="s">
        <v>41</v>
      </c>
      <c r="AB191" s="2" t="s">
        <v>41</v>
      </c>
      <c r="AC191" s="2" t="s">
        <v>41</v>
      </c>
      <c r="AD191" s="2" t="s">
        <v>41</v>
      </c>
      <c r="AE191" s="29" t="s">
        <v>41</v>
      </c>
      <c r="AF191" s="1" t="s">
        <v>37</v>
      </c>
      <c r="AG191" s="1" t="s">
        <v>37</v>
      </c>
      <c r="AH191" s="28" t="s">
        <v>37</v>
      </c>
      <c r="AI191" s="28" t="s">
        <v>127</v>
      </c>
      <c r="AJ191" s="40">
        <v>0</v>
      </c>
    </row>
    <row r="192" spans="1:36" ht="33" x14ac:dyDescent="0.25">
      <c r="A192" t="s">
        <v>335</v>
      </c>
      <c r="B192" s="34" t="s">
        <v>336</v>
      </c>
      <c r="C192" s="34" t="s">
        <v>345</v>
      </c>
      <c r="D192" s="32" t="str">
        <f t="shared" si="2"/>
        <v>Scrap metal, junk, paper or rags storage, sorting, or baling</v>
      </c>
      <c r="E192" s="37" t="e" cm="1">
        <f t="array" aca="1" ref="E192" ca="1">MID(C192,FIND("(",C192,LOOKUP(2,1/(MID(C192,ROW(INDIRECT("1:"&amp;LEN(C192))),1)="("),ROW(INDIRECT("1:"&amp;LEN(C192)))))+1,FIND(")",C192,LOOKUP(2,1/(MID(C192,ROW(INDIRECT("1:"&amp;LEN(C192))),1)="("),ROW(INDIRECT("1:"&amp;LEN(C192)))))-FIND("(",C192,LOOKUP(2,1/(MID(C192,ROW(INDIRECT("1:"&amp;LEN(C192))),1)="("),ROW(INDIRECT("1:"&amp;LEN(C192)))))-1)</f>
        <v>#N/A</v>
      </c>
      <c r="F192" s="37"/>
      <c r="G192" s="37"/>
      <c r="H192" s="37"/>
      <c r="I192" s="37"/>
      <c r="J192" s="37"/>
      <c r="K192" s="37"/>
      <c r="L192" s="27" t="s">
        <v>41</v>
      </c>
      <c r="M192" s="2" t="s">
        <v>41</v>
      </c>
      <c r="N192" s="2" t="s">
        <v>41</v>
      </c>
      <c r="O192" s="2" t="s">
        <v>41</v>
      </c>
      <c r="P192" s="2" t="s">
        <v>41</v>
      </c>
      <c r="Q192" s="2" t="s">
        <v>41</v>
      </c>
      <c r="R192" s="2" t="s">
        <v>41</v>
      </c>
      <c r="S192" s="2" t="s">
        <v>41</v>
      </c>
      <c r="T192" s="2" t="s">
        <v>41</v>
      </c>
      <c r="U192" s="2" t="s">
        <v>41</v>
      </c>
      <c r="V192" s="2" t="s">
        <v>41</v>
      </c>
      <c r="W192" s="29" t="s">
        <v>41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41</v>
      </c>
      <c r="AD192" s="2" t="s">
        <v>41</v>
      </c>
      <c r="AE192" s="29" t="s">
        <v>41</v>
      </c>
      <c r="AF192" s="1" t="s">
        <v>37</v>
      </c>
      <c r="AG192" s="1" t="s">
        <v>37</v>
      </c>
      <c r="AH192" s="28" t="s">
        <v>37</v>
      </c>
      <c r="AI192" s="28" t="s">
        <v>127</v>
      </c>
      <c r="AJ192" s="40">
        <v>0</v>
      </c>
    </row>
    <row r="193" spans="1:36" ht="33" x14ac:dyDescent="0.25">
      <c r="A193" t="s">
        <v>346</v>
      </c>
      <c r="B193" s="34" t="s">
        <v>347</v>
      </c>
      <c r="C193" s="34" t="s">
        <v>348</v>
      </c>
      <c r="D193" s="32" t="str">
        <f t="shared" si="2"/>
        <v>Boat storage</v>
      </c>
      <c r="E193" s="37" t="e" cm="1">
        <f t="array" aca="1" ref="E193" ca="1">MID(C193,FIND("(",C193,LOOKUP(2,1/(MID(C193,ROW(INDIRECT("1:"&amp;LEN(C193))),1)="("),ROW(INDIRECT("1:"&amp;LEN(C193)))))+1,FIND(")",C193,LOOKUP(2,1/(MID(C193,ROW(INDIRECT("1:"&amp;LEN(C193))),1)="("),ROW(INDIRECT("1:"&amp;LEN(C193)))))-FIND("(",C193,LOOKUP(2,1/(MID(C193,ROW(INDIRECT("1:"&amp;LEN(C193))),1)="("),ROW(INDIRECT("1:"&amp;LEN(C193)))))-1)</f>
        <v>#N/A</v>
      </c>
      <c r="F193" s="37"/>
      <c r="G193" s="37"/>
      <c r="H193" s="37"/>
      <c r="I193" s="37"/>
      <c r="J193" s="37"/>
      <c r="K193" s="37"/>
      <c r="L193" s="27" t="s">
        <v>41</v>
      </c>
      <c r="M193" s="2" t="s">
        <v>41</v>
      </c>
      <c r="N193" s="2" t="s">
        <v>41</v>
      </c>
      <c r="O193" s="2" t="s">
        <v>41</v>
      </c>
      <c r="P193" s="2" t="s">
        <v>41</v>
      </c>
      <c r="Q193" s="2" t="s">
        <v>41</v>
      </c>
      <c r="R193" s="2" t="s">
        <v>41</v>
      </c>
      <c r="S193" s="2" t="s">
        <v>41</v>
      </c>
      <c r="T193" s="2" t="s">
        <v>41</v>
      </c>
      <c r="U193" s="2" t="s">
        <v>41</v>
      </c>
      <c r="V193" s="2" t="s">
        <v>41</v>
      </c>
      <c r="W193" s="29" t="s">
        <v>41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26" t="s">
        <v>37</v>
      </c>
      <c r="AG193" s="1" t="s">
        <v>37</v>
      </c>
      <c r="AH193" s="28" t="s">
        <v>37</v>
      </c>
      <c r="AI193" s="28" t="s">
        <v>108</v>
      </c>
      <c r="AJ193" s="40">
        <v>0</v>
      </c>
    </row>
    <row r="194" spans="1:36" ht="33" x14ac:dyDescent="0.25">
      <c r="A194" t="s">
        <v>346</v>
      </c>
      <c r="B194" s="34" t="s">
        <v>347</v>
      </c>
      <c r="C194" s="34" t="s">
        <v>349</v>
      </c>
      <c r="D194" s="32" t="str">
        <f t="shared" si="2"/>
        <v>Commercial or public vehicle storage, including #accessory# motor fuel pumps</v>
      </c>
      <c r="E194" s="37" t="e" cm="1">
        <f t="array" aca="1" ref="E194" ca="1">MID(C194,FIND("(",C194,LOOKUP(2,1/(MID(C194,ROW(INDIRECT("1:"&amp;LEN(C194))),1)="("),ROW(INDIRECT("1:"&amp;LEN(C194)))))+1,FIND(")",C194,LOOKUP(2,1/(MID(C194,ROW(INDIRECT("1:"&amp;LEN(C194))),1)="("),ROW(INDIRECT("1:"&amp;LEN(C194)))))-FIND("(",C194,LOOKUP(2,1/(MID(C194,ROW(INDIRECT("1:"&amp;LEN(C194))),1)="("),ROW(INDIRECT("1:"&amp;LEN(C194)))))-1)</f>
        <v>#N/A</v>
      </c>
      <c r="F194" s="37"/>
      <c r="G194" s="37"/>
      <c r="H194" s="37"/>
      <c r="I194" s="37"/>
      <c r="J194" s="37"/>
      <c r="K194" s="44" t="s">
        <v>515</v>
      </c>
      <c r="L194" s="27" t="s">
        <v>41</v>
      </c>
      <c r="M194" s="2" t="s">
        <v>41</v>
      </c>
      <c r="N194" s="2" t="s">
        <v>41</v>
      </c>
      <c r="O194" s="2" t="s">
        <v>41</v>
      </c>
      <c r="P194" s="2" t="s">
        <v>41</v>
      </c>
      <c r="Q194" s="2" t="s">
        <v>41</v>
      </c>
      <c r="R194" s="2" t="s">
        <v>41</v>
      </c>
      <c r="S194" s="2" t="s">
        <v>41</v>
      </c>
      <c r="T194" s="2" t="s">
        <v>41</v>
      </c>
      <c r="U194" s="2" t="s">
        <v>41</v>
      </c>
      <c r="V194" s="2" t="s">
        <v>41</v>
      </c>
      <c r="W194" s="29" t="s">
        <v>41</v>
      </c>
      <c r="X194" s="2" t="s">
        <v>41</v>
      </c>
      <c r="Y194" s="2" t="s">
        <v>41</v>
      </c>
      <c r="Z194" s="2" t="s">
        <v>41</v>
      </c>
      <c r="AA194" s="2" t="s">
        <v>41</v>
      </c>
      <c r="AB194" s="2" t="s">
        <v>41</v>
      </c>
      <c r="AC194" s="2" t="s">
        <v>41</v>
      </c>
      <c r="AD194" s="2" t="s">
        <v>41</v>
      </c>
      <c r="AE194" s="1" t="s">
        <v>137</v>
      </c>
      <c r="AF194" s="26" t="s">
        <v>37</v>
      </c>
      <c r="AG194" s="1" t="s">
        <v>37</v>
      </c>
      <c r="AH194" s="28" t="s">
        <v>37</v>
      </c>
      <c r="AI194" s="28" t="s">
        <v>127</v>
      </c>
      <c r="AJ194" s="40">
        <v>0</v>
      </c>
    </row>
    <row r="195" spans="1:36" ht="33" x14ac:dyDescent="0.25">
      <c r="A195" t="s">
        <v>346</v>
      </c>
      <c r="B195" s="34" t="s">
        <v>347</v>
      </c>
      <c r="C195" s="34" t="s">
        <v>350</v>
      </c>
      <c r="D195" s="32" t="str">
        <f t="shared" ref="D195:D244" si="3">_xlfn.TEXTAFTER(C195," - ",,,,C195)</f>
        <v>Dead storage of motor vehicles </v>
      </c>
      <c r="E195" s="37" t="e" cm="1">
        <f t="array" aca="1" ref="E195" ca="1">MID(C195,FIND("(",C195,LOOKUP(2,1/(MID(C195,ROW(INDIRECT("1:"&amp;LEN(C195))),1)="("),ROW(INDIRECT("1:"&amp;LEN(C195)))))+1,FIND(")",C195,LOOKUP(2,1/(MID(C195,ROW(INDIRECT("1:"&amp;LEN(C195))),1)="("),ROW(INDIRECT("1:"&amp;LEN(C195)))))-FIND("(",C195,LOOKUP(2,1/(MID(C195,ROW(INDIRECT("1:"&amp;LEN(C195))),1)="("),ROW(INDIRECT("1:"&amp;LEN(C195)))))-1)</f>
        <v>#N/A</v>
      </c>
      <c r="F195" s="37"/>
      <c r="G195" s="37"/>
      <c r="H195" s="37"/>
      <c r="I195" s="37"/>
      <c r="J195" s="37"/>
      <c r="K195" s="37"/>
      <c r="L195" s="27" t="s">
        <v>41</v>
      </c>
      <c r="M195" s="2" t="s">
        <v>41</v>
      </c>
      <c r="N195" s="2" t="s">
        <v>41</v>
      </c>
      <c r="O195" s="2" t="s">
        <v>41</v>
      </c>
      <c r="P195" s="2" t="s">
        <v>41</v>
      </c>
      <c r="Q195" s="2" t="s">
        <v>41</v>
      </c>
      <c r="R195" s="2" t="s">
        <v>41</v>
      </c>
      <c r="S195" s="2" t="s">
        <v>41</v>
      </c>
      <c r="T195" s="2" t="s">
        <v>41</v>
      </c>
      <c r="U195" s="2" t="s">
        <v>41</v>
      </c>
      <c r="V195" s="2" t="s">
        <v>41</v>
      </c>
      <c r="W195" s="29" t="s">
        <v>41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  <c r="AD195" s="2" t="s">
        <v>41</v>
      </c>
      <c r="AE195" s="1" t="s">
        <v>137</v>
      </c>
      <c r="AF195" s="26" t="s">
        <v>37</v>
      </c>
      <c r="AG195" s="1" t="s">
        <v>37</v>
      </c>
      <c r="AH195" s="28" t="s">
        <v>37</v>
      </c>
      <c r="AI195" s="29" t="s">
        <v>43</v>
      </c>
      <c r="AJ195" s="40">
        <v>0</v>
      </c>
    </row>
    <row r="196" spans="1:36" ht="45" x14ac:dyDescent="0.25">
      <c r="A196" t="s">
        <v>346</v>
      </c>
      <c r="B196" s="34" t="s">
        <v>347</v>
      </c>
      <c r="C196" s="34" t="s">
        <v>351</v>
      </c>
      <c r="D196" s="32" t="str">
        <f t="shared" si="3"/>
        <v>#Public parking garages# or #public parking lots#</v>
      </c>
      <c r="E196" s="37" t="e" cm="1">
        <f t="array" aca="1" ref="E196" ca="1">MID(C196,FIND("(",C196,LOOKUP(2,1/(MID(C196,ROW(INDIRECT("1:"&amp;LEN(C196))),1)="("),ROW(INDIRECT("1:"&amp;LEN(C196)))))+1,FIND(")",C196,LOOKUP(2,1/(MID(C196,ROW(INDIRECT("1:"&amp;LEN(C196))),1)="("),ROW(INDIRECT("1:"&amp;LEN(C196)))))-FIND("(",C196,LOOKUP(2,1/(MID(C196,ROW(INDIRECT("1:"&amp;LEN(C196))),1)="("),ROW(INDIRECT("1:"&amp;LEN(C196)))))-1)</f>
        <v>#N/A</v>
      </c>
      <c r="F196" s="37"/>
      <c r="G196" s="37"/>
      <c r="H196" s="37"/>
      <c r="I196" s="37"/>
      <c r="J196" s="37"/>
      <c r="K196" s="44" t="s">
        <v>524</v>
      </c>
      <c r="L196" s="27" t="s">
        <v>41</v>
      </c>
      <c r="M196" s="2" t="s">
        <v>41</v>
      </c>
      <c r="N196" s="2" t="s">
        <v>41</v>
      </c>
      <c r="O196" s="2" t="s">
        <v>41</v>
      </c>
      <c r="P196" s="2" t="s">
        <v>41</v>
      </c>
      <c r="Q196" s="2" t="s">
        <v>41</v>
      </c>
      <c r="R196" s="2" t="s">
        <v>41</v>
      </c>
      <c r="S196" s="2" t="s">
        <v>41</v>
      </c>
      <c r="T196" s="2" t="s">
        <v>41</v>
      </c>
      <c r="U196" s="2" t="s">
        <v>41</v>
      </c>
      <c r="V196" s="2" t="s">
        <v>41</v>
      </c>
      <c r="W196" s="29" t="s">
        <v>41</v>
      </c>
      <c r="X196" s="1" t="s">
        <v>352</v>
      </c>
      <c r="Y196" s="1" t="s">
        <v>352</v>
      </c>
      <c r="Z196" s="2" t="s">
        <v>41</v>
      </c>
      <c r="AA196" s="1" t="s">
        <v>352</v>
      </c>
      <c r="AB196" s="1" t="s">
        <v>352</v>
      </c>
      <c r="AC196" s="1" t="s">
        <v>352</v>
      </c>
      <c r="AD196" s="1" t="s">
        <v>352</v>
      </c>
      <c r="AE196" s="1" t="s">
        <v>352</v>
      </c>
      <c r="AF196" s="26" t="s">
        <v>352</v>
      </c>
      <c r="AG196" s="1" t="s">
        <v>352</v>
      </c>
      <c r="AH196" s="28" t="s">
        <v>352</v>
      </c>
      <c r="AI196" s="29" t="s">
        <v>43</v>
      </c>
      <c r="AJ196" s="40">
        <v>0</v>
      </c>
    </row>
    <row r="197" spans="1:36" ht="33" x14ac:dyDescent="0.25">
      <c r="A197" t="s">
        <v>353</v>
      </c>
      <c r="B197" s="34" t="s">
        <v>354</v>
      </c>
      <c r="C197" s="34" t="s">
        <v>355</v>
      </c>
      <c r="D197" s="32" t="str">
        <f t="shared" si="3"/>
        <v>Animal food manufacturing (3111)</v>
      </c>
      <c r="E197" s="37" t="str" cm="1">
        <f t="array" aca="1" ref="E197" ca="1">MID(C197,FIND("(",C197,LOOKUP(2,1/(MID(C197,ROW(INDIRECT("1:"&amp;LEN(C197))),1)="("),ROW(INDIRECT("1:"&amp;LEN(C197)))))+1,FIND(")",C197,LOOKUP(2,1/(MID(C197,ROW(INDIRECT("1:"&amp;LEN(C197))),1)="("),ROW(INDIRECT("1:"&amp;LEN(C197)))))-FIND("(",C197,LOOKUP(2,1/(MID(C197,ROW(INDIRECT("1:"&amp;LEN(C197))),1)="("),ROW(INDIRECT("1:"&amp;LEN(C197)))))-1)</f>
        <v>3111</v>
      </c>
      <c r="F197" s="37"/>
      <c r="G197" s="37"/>
      <c r="H197" s="37"/>
      <c r="I197" s="37"/>
      <c r="J197" s="37"/>
      <c r="K197" s="37"/>
      <c r="L197" s="27" t="s">
        <v>41</v>
      </c>
      <c r="M197" s="2" t="s">
        <v>41</v>
      </c>
      <c r="N197" s="2" t="s">
        <v>41</v>
      </c>
      <c r="O197" s="2" t="s">
        <v>41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41</v>
      </c>
      <c r="U197" s="2" t="s">
        <v>41</v>
      </c>
      <c r="V197" s="2" t="s">
        <v>41</v>
      </c>
      <c r="W197" s="29" t="s">
        <v>41</v>
      </c>
      <c r="X197" s="2" t="s">
        <v>41</v>
      </c>
      <c r="Y197" s="2" t="s">
        <v>41</v>
      </c>
      <c r="Z197" s="2" t="s">
        <v>41</v>
      </c>
      <c r="AA197" s="2" t="s">
        <v>41</v>
      </c>
      <c r="AB197" s="2" t="s">
        <v>41</v>
      </c>
      <c r="AC197" s="2" t="s">
        <v>41</v>
      </c>
      <c r="AD197" s="2" t="s">
        <v>41</v>
      </c>
      <c r="AE197" s="2" t="s">
        <v>41</v>
      </c>
      <c r="AF197" s="17" t="s">
        <v>356</v>
      </c>
      <c r="AG197" s="8" t="s">
        <v>356</v>
      </c>
      <c r="AH197" s="15" t="s">
        <v>356</v>
      </c>
      <c r="AI197" s="28" t="s">
        <v>130</v>
      </c>
      <c r="AJ197" s="40">
        <v>1</v>
      </c>
    </row>
    <row r="198" spans="1:36" ht="33" x14ac:dyDescent="0.25">
      <c r="A198" t="s">
        <v>353</v>
      </c>
      <c r="B198" s="34" t="s">
        <v>354</v>
      </c>
      <c r="C198" s="34" t="s">
        <v>357</v>
      </c>
      <c r="D198" s="32" t="str">
        <f t="shared" si="3"/>
        <v>Sugar manufacturing (31131)</v>
      </c>
      <c r="E198" s="37" t="str" cm="1">
        <f t="array" aca="1" ref="E198" ca="1">MID(C198,FIND("(",C198,LOOKUP(2,1/(MID(C198,ROW(INDIRECT("1:"&amp;LEN(C198))),1)="("),ROW(INDIRECT("1:"&amp;LEN(C198)))))+1,FIND(")",C198,LOOKUP(2,1/(MID(C198,ROW(INDIRECT("1:"&amp;LEN(C198))),1)="("),ROW(INDIRECT("1:"&amp;LEN(C198)))))-FIND("(",C198,LOOKUP(2,1/(MID(C198,ROW(INDIRECT("1:"&amp;LEN(C198))),1)="("),ROW(INDIRECT("1:"&amp;LEN(C198)))))-1)</f>
        <v>31131</v>
      </c>
      <c r="F198" s="37"/>
      <c r="G198" s="37"/>
      <c r="H198" s="37"/>
      <c r="I198" s="37"/>
      <c r="J198" s="37"/>
      <c r="K198" s="37"/>
      <c r="L198" s="27" t="s">
        <v>41</v>
      </c>
      <c r="M198" s="2" t="s">
        <v>41</v>
      </c>
      <c r="N198" s="2" t="s">
        <v>41</v>
      </c>
      <c r="O198" s="2" t="s">
        <v>41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41</v>
      </c>
      <c r="U198" s="2" t="s">
        <v>41</v>
      </c>
      <c r="V198" s="2" t="s">
        <v>41</v>
      </c>
      <c r="W198" s="29" t="s">
        <v>41</v>
      </c>
      <c r="X198" s="2" t="s">
        <v>166</v>
      </c>
      <c r="Y198" s="2" t="s">
        <v>166</v>
      </c>
      <c r="Z198" s="2" t="s">
        <v>166</v>
      </c>
      <c r="AA198" s="2" t="s">
        <v>166</v>
      </c>
      <c r="AB198" s="2" t="s">
        <v>166</v>
      </c>
      <c r="AC198" s="2" t="s">
        <v>166</v>
      </c>
      <c r="AD198" s="2" t="s">
        <v>166</v>
      </c>
      <c r="AE198" s="2" t="s">
        <v>166</v>
      </c>
      <c r="AF198" s="17" t="s">
        <v>356</v>
      </c>
      <c r="AG198" s="8" t="s">
        <v>356</v>
      </c>
      <c r="AH198" s="15" t="s">
        <v>356</v>
      </c>
      <c r="AI198" s="28" t="s">
        <v>130</v>
      </c>
      <c r="AJ198" s="40">
        <v>1</v>
      </c>
    </row>
    <row r="199" spans="1:36" ht="45" x14ac:dyDescent="0.25">
      <c r="A199" t="s">
        <v>353</v>
      </c>
      <c r="B199" s="34" t="s">
        <v>354</v>
      </c>
      <c r="C199" s="34" t="s">
        <v>358</v>
      </c>
      <c r="D199" s="32" t="str">
        <f t="shared" si="3"/>
        <v>All other sugar and confectionary product manufacturing (in 3113)</v>
      </c>
      <c r="E199" s="37" t="str" cm="1">
        <f t="array" aca="1" ref="E199" ca="1">MID(C199,FIND("(",C199,LOOKUP(2,1/(MID(C199,ROW(INDIRECT("1:"&amp;LEN(C199))),1)="("),ROW(INDIRECT("1:"&amp;LEN(C199)))))+1,FIND(")",C199,LOOKUP(2,1/(MID(C199,ROW(INDIRECT("1:"&amp;LEN(C199))),1)="("),ROW(INDIRECT("1:"&amp;LEN(C199)))))-FIND("(",C199,LOOKUP(2,1/(MID(C199,ROW(INDIRECT("1:"&amp;LEN(C199))),1)="("),ROW(INDIRECT("1:"&amp;LEN(C199)))))-1)</f>
        <v>in 3113</v>
      </c>
      <c r="F199" s="37" t="s">
        <v>359</v>
      </c>
      <c r="G199" s="37"/>
      <c r="H199" s="37"/>
      <c r="I199" s="37">
        <v>31131</v>
      </c>
      <c r="J199" s="37"/>
      <c r="K199" s="37"/>
      <c r="L199" s="27" t="s">
        <v>41</v>
      </c>
      <c r="M199" s="2" t="s">
        <v>41</v>
      </c>
      <c r="N199" s="2" t="s">
        <v>41</v>
      </c>
      <c r="O199" s="2" t="s">
        <v>41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41</v>
      </c>
      <c r="U199" s="2" t="s">
        <v>41</v>
      </c>
      <c r="V199" s="2" t="s">
        <v>41</v>
      </c>
      <c r="W199" s="29" t="s">
        <v>41</v>
      </c>
      <c r="X199" s="8" t="s">
        <v>360</v>
      </c>
      <c r="Y199" s="8" t="s">
        <v>360</v>
      </c>
      <c r="Z199" s="2" t="s">
        <v>41</v>
      </c>
      <c r="AA199" s="8" t="s">
        <v>360</v>
      </c>
      <c r="AB199" s="8" t="s">
        <v>360</v>
      </c>
      <c r="AC199" s="8" t="s">
        <v>360</v>
      </c>
      <c r="AD199" s="8" t="s">
        <v>360</v>
      </c>
      <c r="AE199" s="8" t="s">
        <v>356</v>
      </c>
      <c r="AF199" s="17" t="s">
        <v>356</v>
      </c>
      <c r="AG199" s="8" t="s">
        <v>356</v>
      </c>
      <c r="AH199" s="15" t="s">
        <v>356</v>
      </c>
      <c r="AI199" s="28" t="s">
        <v>130</v>
      </c>
      <c r="AJ199" s="40">
        <v>3</v>
      </c>
    </row>
    <row r="200" spans="1:36" ht="33" x14ac:dyDescent="0.25">
      <c r="A200" t="s">
        <v>353</v>
      </c>
      <c r="B200" s="34" t="s">
        <v>354</v>
      </c>
      <c r="C200" s="34" t="s">
        <v>361</v>
      </c>
      <c r="D200" s="32" t="str">
        <f t="shared" si="3"/>
        <v>Animal slaughtering and processing (3116)</v>
      </c>
      <c r="E200" s="37" t="str" cm="1">
        <f t="array" aca="1" ref="E200" ca="1">MID(C200,FIND("(",C200,LOOKUP(2,1/(MID(C200,ROW(INDIRECT("1:"&amp;LEN(C200))),1)="("),ROW(INDIRECT("1:"&amp;LEN(C200)))))+1,FIND(")",C200,LOOKUP(2,1/(MID(C200,ROW(INDIRECT("1:"&amp;LEN(C200))),1)="("),ROW(INDIRECT("1:"&amp;LEN(C200)))))-FIND("(",C200,LOOKUP(2,1/(MID(C200,ROW(INDIRECT("1:"&amp;LEN(C200))),1)="("),ROW(INDIRECT("1:"&amp;LEN(C200)))))-1)</f>
        <v>3116</v>
      </c>
      <c r="F200" s="37"/>
      <c r="G200" s="37"/>
      <c r="H200" s="37"/>
      <c r="I200" s="37"/>
      <c r="J200" s="37"/>
      <c r="K200" s="37"/>
      <c r="L200" s="27" t="s">
        <v>41</v>
      </c>
      <c r="M200" s="2" t="s">
        <v>41</v>
      </c>
      <c r="N200" s="2" t="s">
        <v>41</v>
      </c>
      <c r="O200" s="2" t="s">
        <v>41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41</v>
      </c>
      <c r="U200" s="2" t="s">
        <v>41</v>
      </c>
      <c r="V200" s="2" t="s">
        <v>41</v>
      </c>
      <c r="W200" s="29" t="s">
        <v>41</v>
      </c>
      <c r="X200" s="2" t="s">
        <v>166</v>
      </c>
      <c r="Y200" s="2" t="s">
        <v>166</v>
      </c>
      <c r="Z200" s="2" t="s">
        <v>166</v>
      </c>
      <c r="AA200" s="2" t="s">
        <v>166</v>
      </c>
      <c r="AB200" s="2" t="s">
        <v>166</v>
      </c>
      <c r="AC200" s="2" t="s">
        <v>166</v>
      </c>
      <c r="AD200" s="2" t="s">
        <v>166</v>
      </c>
      <c r="AE200" s="2" t="s">
        <v>166</v>
      </c>
      <c r="AF200" s="17" t="s">
        <v>356</v>
      </c>
      <c r="AG200" s="8" t="s">
        <v>356</v>
      </c>
      <c r="AH200" s="15" t="s">
        <v>356</v>
      </c>
      <c r="AI200" s="28" t="s">
        <v>130</v>
      </c>
      <c r="AJ200" s="40">
        <v>1</v>
      </c>
    </row>
    <row r="201" spans="1:36" ht="33" x14ac:dyDescent="0.25">
      <c r="A201" t="s">
        <v>353</v>
      </c>
      <c r="B201" s="34" t="s">
        <v>354</v>
      </c>
      <c r="C201" s="34" t="s">
        <v>362</v>
      </c>
      <c r="D201" s="32" t="str">
        <f t="shared" si="3"/>
        <v>Seafood product preparation and packaging (3117)</v>
      </c>
      <c r="E201" s="37" t="str" cm="1">
        <f t="array" aca="1" ref="E201" ca="1">MID(C201,FIND("(",C201,LOOKUP(2,1/(MID(C201,ROW(INDIRECT("1:"&amp;LEN(C201))),1)="("),ROW(INDIRECT("1:"&amp;LEN(C201)))))+1,FIND(")",C201,LOOKUP(2,1/(MID(C201,ROW(INDIRECT("1:"&amp;LEN(C201))),1)="("),ROW(INDIRECT("1:"&amp;LEN(C201)))))-FIND("(",C201,LOOKUP(2,1/(MID(C201,ROW(INDIRECT("1:"&amp;LEN(C201))),1)="("),ROW(INDIRECT("1:"&amp;LEN(C201)))))-1)</f>
        <v>3117</v>
      </c>
      <c r="F201" s="37"/>
      <c r="G201" s="37"/>
      <c r="H201" s="37"/>
      <c r="I201" s="37"/>
      <c r="J201" s="37"/>
      <c r="K201" s="37"/>
      <c r="L201" s="27" t="s">
        <v>41</v>
      </c>
      <c r="M201" s="2" t="s">
        <v>41</v>
      </c>
      <c r="N201" s="2" t="s">
        <v>41</v>
      </c>
      <c r="O201" s="2" t="s">
        <v>41</v>
      </c>
      <c r="P201" s="2" t="s">
        <v>41</v>
      </c>
      <c r="Q201" s="2" t="s">
        <v>41</v>
      </c>
      <c r="R201" s="2" t="s">
        <v>41</v>
      </c>
      <c r="S201" s="2" t="s">
        <v>41</v>
      </c>
      <c r="T201" s="2" t="s">
        <v>41</v>
      </c>
      <c r="U201" s="2" t="s">
        <v>41</v>
      </c>
      <c r="V201" s="2" t="s">
        <v>41</v>
      </c>
      <c r="W201" s="29" t="s">
        <v>41</v>
      </c>
      <c r="X201" s="2" t="s">
        <v>166</v>
      </c>
      <c r="Y201" s="2" t="s">
        <v>166</v>
      </c>
      <c r="Z201" s="2" t="s">
        <v>166</v>
      </c>
      <c r="AA201" s="2" t="s">
        <v>166</v>
      </c>
      <c r="AB201" s="2" t="s">
        <v>166</v>
      </c>
      <c r="AC201" s="2" t="s">
        <v>166</v>
      </c>
      <c r="AD201" s="2" t="s">
        <v>166</v>
      </c>
      <c r="AE201" s="2" t="s">
        <v>166</v>
      </c>
      <c r="AF201" s="17" t="s">
        <v>356</v>
      </c>
      <c r="AG201" s="8" t="s">
        <v>356</v>
      </c>
      <c r="AH201" s="15" t="s">
        <v>356</v>
      </c>
      <c r="AI201" s="28" t="s">
        <v>130</v>
      </c>
      <c r="AJ201" s="40">
        <v>1</v>
      </c>
    </row>
    <row r="202" spans="1:36" ht="33" x14ac:dyDescent="0.25">
      <c r="A202" t="s">
        <v>353</v>
      </c>
      <c r="B202" s="34" t="s">
        <v>354</v>
      </c>
      <c r="C202" s="34" t="s">
        <v>363</v>
      </c>
      <c r="D202" s="32" t="str">
        <f t="shared" si="3"/>
        <v>All other food manufacturing (in 311)</v>
      </c>
      <c r="E202" s="37" t="str" cm="1">
        <f t="array" aca="1" ref="E202" ca="1">MID(C202,FIND("(",C202,LOOKUP(2,1/(MID(C202,ROW(INDIRECT("1:"&amp;LEN(C202))),1)="("),ROW(INDIRECT("1:"&amp;LEN(C202)))))+1,FIND(")",C202,LOOKUP(2,1/(MID(C202,ROW(INDIRECT("1:"&amp;LEN(C202))),1)="("),ROW(INDIRECT("1:"&amp;LEN(C202)))))-FIND("(",C202,LOOKUP(2,1/(MID(C202,ROW(INDIRECT("1:"&amp;LEN(C202))),1)="("),ROW(INDIRECT("1:"&amp;LEN(C202)))))-1)</f>
        <v>in 311</v>
      </c>
      <c r="F202" s="37" t="s">
        <v>364</v>
      </c>
      <c r="G202" s="37"/>
      <c r="H202" s="37"/>
      <c r="I202" s="37" t="s">
        <v>445</v>
      </c>
      <c r="J202" s="37"/>
      <c r="K202" s="37"/>
      <c r="L202" s="27" t="s">
        <v>41</v>
      </c>
      <c r="M202" s="2" t="s">
        <v>41</v>
      </c>
      <c r="N202" s="2" t="s">
        <v>41</v>
      </c>
      <c r="O202" s="2" t="s">
        <v>41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41</v>
      </c>
      <c r="U202" s="2" t="s">
        <v>41</v>
      </c>
      <c r="V202" s="2" t="s">
        <v>41</v>
      </c>
      <c r="W202" s="29" t="s">
        <v>41</v>
      </c>
      <c r="X202" s="8" t="s">
        <v>360</v>
      </c>
      <c r="Y202" s="8" t="s">
        <v>360</v>
      </c>
      <c r="Z202" s="2" t="s">
        <v>41</v>
      </c>
      <c r="AA202" s="8" t="s">
        <v>360</v>
      </c>
      <c r="AB202" s="8" t="s">
        <v>360</v>
      </c>
      <c r="AC202" s="8" t="s">
        <v>360</v>
      </c>
      <c r="AD202" s="8" t="s">
        <v>360</v>
      </c>
      <c r="AE202" s="8" t="s">
        <v>356</v>
      </c>
      <c r="AF202" s="17" t="s">
        <v>356</v>
      </c>
      <c r="AG202" s="8" t="s">
        <v>356</v>
      </c>
      <c r="AH202" s="15" t="s">
        <v>356</v>
      </c>
      <c r="AI202" s="28" t="s">
        <v>130</v>
      </c>
      <c r="AJ202" s="40">
        <v>3</v>
      </c>
    </row>
    <row r="203" spans="1:36" ht="33" x14ac:dyDescent="0.25">
      <c r="A203" t="s">
        <v>353</v>
      </c>
      <c r="B203" s="34" t="s">
        <v>365</v>
      </c>
      <c r="C203" s="34" t="s">
        <v>366</v>
      </c>
      <c r="D203" s="32" t="str">
        <f t="shared" si="3"/>
        <v>Distilleries (31214)</v>
      </c>
      <c r="E203" s="37" t="str" cm="1">
        <f t="array" aca="1" ref="E203" ca="1">MID(C203,FIND("(",C203,LOOKUP(2,1/(MID(C203,ROW(INDIRECT("1:"&amp;LEN(C203))),1)="("),ROW(INDIRECT("1:"&amp;LEN(C203)))))+1,FIND(")",C203,LOOKUP(2,1/(MID(C203,ROW(INDIRECT("1:"&amp;LEN(C203))),1)="("),ROW(INDIRECT("1:"&amp;LEN(C203)))))-FIND("(",C203,LOOKUP(2,1/(MID(C203,ROW(INDIRECT("1:"&amp;LEN(C203))),1)="("),ROW(INDIRECT("1:"&amp;LEN(C203)))))-1)</f>
        <v>31214</v>
      </c>
      <c r="F203" s="37"/>
      <c r="G203" s="37"/>
      <c r="H203" s="37"/>
      <c r="I203" s="37"/>
      <c r="J203" s="37"/>
      <c r="K203" s="37"/>
      <c r="L203" s="27" t="s">
        <v>41</v>
      </c>
      <c r="M203" s="2" t="s">
        <v>41</v>
      </c>
      <c r="N203" s="2" t="s">
        <v>41</v>
      </c>
      <c r="O203" s="2" t="s">
        <v>41</v>
      </c>
      <c r="P203" s="2" t="s">
        <v>41</v>
      </c>
      <c r="Q203" s="2" t="s">
        <v>41</v>
      </c>
      <c r="R203" s="2" t="s">
        <v>41</v>
      </c>
      <c r="S203" s="2" t="s">
        <v>41</v>
      </c>
      <c r="T203" s="2" t="s">
        <v>41</v>
      </c>
      <c r="U203" s="2" t="s">
        <v>41</v>
      </c>
      <c r="V203" s="2" t="s">
        <v>41</v>
      </c>
      <c r="W203" s="29" t="s">
        <v>41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41</v>
      </c>
      <c r="AD203" s="2" t="s">
        <v>41</v>
      </c>
      <c r="AE203" s="2" t="s">
        <v>41</v>
      </c>
      <c r="AF203" s="17" t="s">
        <v>356</v>
      </c>
      <c r="AG203" s="8" t="s">
        <v>356</v>
      </c>
      <c r="AH203" s="15" t="s">
        <v>356</v>
      </c>
      <c r="AI203" s="31" t="s">
        <v>130</v>
      </c>
      <c r="AJ203" s="40">
        <v>1</v>
      </c>
    </row>
    <row r="204" spans="1:36" ht="33" x14ac:dyDescent="0.25">
      <c r="A204" t="s">
        <v>353</v>
      </c>
      <c r="B204" s="34" t="s">
        <v>365</v>
      </c>
      <c r="C204" s="34" t="s">
        <v>367</v>
      </c>
      <c r="D204" s="32" t="str">
        <f t="shared" si="3"/>
        <v>All other beverage manufacturing (in 3121)</v>
      </c>
      <c r="E204" s="37" t="str" cm="1">
        <f t="array" aca="1" ref="E204" ca="1">MID(C204,FIND("(",C204,LOOKUP(2,1/(MID(C204,ROW(INDIRECT("1:"&amp;LEN(C204))),1)="("),ROW(INDIRECT("1:"&amp;LEN(C204)))))+1,FIND(")",C204,LOOKUP(2,1/(MID(C204,ROW(INDIRECT("1:"&amp;LEN(C204))),1)="("),ROW(INDIRECT("1:"&amp;LEN(C204)))))-FIND("(",C204,LOOKUP(2,1/(MID(C204,ROW(INDIRECT("1:"&amp;LEN(C204))),1)="("),ROW(INDIRECT("1:"&amp;LEN(C204)))))-1)</f>
        <v>in 3121</v>
      </c>
      <c r="F204" s="37" t="s">
        <v>368</v>
      </c>
      <c r="G204" s="37"/>
      <c r="H204" s="37"/>
      <c r="I204" s="37">
        <v>31214</v>
      </c>
      <c r="J204" s="37"/>
      <c r="K204" s="37"/>
      <c r="L204" s="27" t="s">
        <v>41</v>
      </c>
      <c r="M204" s="2" t="s">
        <v>41</v>
      </c>
      <c r="N204" s="2" t="s">
        <v>41</v>
      </c>
      <c r="O204" s="2" t="s">
        <v>41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41</v>
      </c>
      <c r="U204" s="2" t="s">
        <v>41</v>
      </c>
      <c r="V204" s="2" t="s">
        <v>41</v>
      </c>
      <c r="W204" s="29" t="s">
        <v>41</v>
      </c>
      <c r="X204" s="8" t="s">
        <v>360</v>
      </c>
      <c r="Y204" s="8" t="s">
        <v>360</v>
      </c>
      <c r="Z204" s="2" t="s">
        <v>41</v>
      </c>
      <c r="AA204" s="8" t="s">
        <v>360</v>
      </c>
      <c r="AB204" s="8" t="s">
        <v>360</v>
      </c>
      <c r="AC204" s="8" t="s">
        <v>360</v>
      </c>
      <c r="AD204" s="8" t="s">
        <v>360</v>
      </c>
      <c r="AE204" s="8" t="s">
        <v>356</v>
      </c>
      <c r="AF204" s="17" t="s">
        <v>356</v>
      </c>
      <c r="AG204" s="8" t="s">
        <v>356</v>
      </c>
      <c r="AH204" s="15" t="s">
        <v>356</v>
      </c>
      <c r="AI204" s="31" t="s">
        <v>130</v>
      </c>
      <c r="AJ204" s="40">
        <v>3</v>
      </c>
    </row>
    <row r="205" spans="1:36" ht="33" x14ac:dyDescent="0.25">
      <c r="A205" t="s">
        <v>353</v>
      </c>
      <c r="B205" s="34" t="s">
        <v>365</v>
      </c>
      <c r="C205" s="34" t="s">
        <v>369</v>
      </c>
      <c r="D205" s="32" t="str">
        <f t="shared" si="3"/>
        <v>Tobacco manufacturing (3122)</v>
      </c>
      <c r="E205" s="37" t="str" cm="1">
        <f t="array" aca="1" ref="E205" ca="1">MID(C205,FIND("(",C205,LOOKUP(2,1/(MID(C205,ROW(INDIRECT("1:"&amp;LEN(C205))),1)="("),ROW(INDIRECT("1:"&amp;LEN(C205)))))+1,FIND(")",C205,LOOKUP(2,1/(MID(C205,ROW(INDIRECT("1:"&amp;LEN(C205))),1)="("),ROW(INDIRECT("1:"&amp;LEN(C205)))))-FIND("(",C205,LOOKUP(2,1/(MID(C205,ROW(INDIRECT("1:"&amp;LEN(C205))),1)="("),ROW(INDIRECT("1:"&amp;LEN(C205)))))-1)</f>
        <v>3122</v>
      </c>
      <c r="F205" s="37"/>
      <c r="G205" s="37"/>
      <c r="H205" s="37"/>
      <c r="I205" s="37"/>
      <c r="J205" s="37"/>
      <c r="K205" s="37"/>
      <c r="L205" s="27" t="s">
        <v>41</v>
      </c>
      <c r="M205" s="2" t="s">
        <v>41</v>
      </c>
      <c r="N205" s="2" t="s">
        <v>41</v>
      </c>
      <c r="O205" s="2" t="s">
        <v>41</v>
      </c>
      <c r="P205" s="2" t="s">
        <v>41</v>
      </c>
      <c r="Q205" s="2" t="s">
        <v>41</v>
      </c>
      <c r="R205" s="2" t="s">
        <v>41</v>
      </c>
      <c r="S205" s="2" t="s">
        <v>41</v>
      </c>
      <c r="T205" s="2" t="s">
        <v>41</v>
      </c>
      <c r="U205" s="2" t="s">
        <v>41</v>
      </c>
      <c r="V205" s="2" t="s">
        <v>41</v>
      </c>
      <c r="W205" s="29" t="s">
        <v>41</v>
      </c>
      <c r="X205" s="8" t="s">
        <v>360</v>
      </c>
      <c r="Y205" s="8" t="s">
        <v>360</v>
      </c>
      <c r="Z205" s="2" t="s">
        <v>41</v>
      </c>
      <c r="AA205" s="8" t="s">
        <v>360</v>
      </c>
      <c r="AB205" s="8" t="s">
        <v>360</v>
      </c>
      <c r="AC205" s="8" t="s">
        <v>360</v>
      </c>
      <c r="AD205" s="8" t="s">
        <v>360</v>
      </c>
      <c r="AE205" s="8" t="s">
        <v>356</v>
      </c>
      <c r="AF205" s="17" t="s">
        <v>356</v>
      </c>
      <c r="AG205" s="8" t="s">
        <v>356</v>
      </c>
      <c r="AH205" s="15" t="s">
        <v>356</v>
      </c>
      <c r="AI205" s="28" t="s">
        <v>130</v>
      </c>
      <c r="AJ205" s="40">
        <v>1</v>
      </c>
    </row>
    <row r="206" spans="1:36" ht="33" x14ac:dyDescent="0.25">
      <c r="A206" t="s">
        <v>353</v>
      </c>
      <c r="B206" s="34" t="s">
        <v>370</v>
      </c>
      <c r="C206" s="34" t="s">
        <v>371</v>
      </c>
      <c r="D206" s="32" t="str">
        <f t="shared" si="3"/>
        <v>Textile mills (313)</v>
      </c>
      <c r="E206" s="37" t="str" cm="1">
        <f t="array" aca="1" ref="E206" ca="1">MID(C206,FIND("(",C206,LOOKUP(2,1/(MID(C206,ROW(INDIRECT("1:"&amp;LEN(C206))),1)="("),ROW(INDIRECT("1:"&amp;LEN(C206)))))+1,FIND(")",C206,LOOKUP(2,1/(MID(C206,ROW(INDIRECT("1:"&amp;LEN(C206))),1)="("),ROW(INDIRECT("1:"&amp;LEN(C206)))))-FIND("(",C206,LOOKUP(2,1/(MID(C206,ROW(INDIRECT("1:"&amp;LEN(C206))),1)="("),ROW(INDIRECT("1:"&amp;LEN(C206)))))-1)</f>
        <v>313</v>
      </c>
      <c r="F206" s="37"/>
      <c r="G206" s="37"/>
      <c r="H206" s="37"/>
      <c r="I206" s="37"/>
      <c r="J206" s="37"/>
      <c r="K206" s="37"/>
      <c r="L206" s="27" t="s">
        <v>41</v>
      </c>
      <c r="M206" s="2" t="s">
        <v>41</v>
      </c>
      <c r="N206" s="2" t="s">
        <v>41</v>
      </c>
      <c r="O206" s="2" t="s">
        <v>41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41</v>
      </c>
      <c r="U206" s="2" t="s">
        <v>41</v>
      </c>
      <c r="V206" s="2" t="s">
        <v>41</v>
      </c>
      <c r="W206" s="29" t="s">
        <v>41</v>
      </c>
      <c r="X206" s="8" t="s">
        <v>360</v>
      </c>
      <c r="Y206" s="8" t="s">
        <v>360</v>
      </c>
      <c r="Z206" s="2" t="s">
        <v>41</v>
      </c>
      <c r="AA206" s="8" t="s">
        <v>360</v>
      </c>
      <c r="AB206" s="8" t="s">
        <v>360</v>
      </c>
      <c r="AC206" s="8" t="s">
        <v>360</v>
      </c>
      <c r="AD206" s="8" t="s">
        <v>360</v>
      </c>
      <c r="AE206" s="8" t="s">
        <v>356</v>
      </c>
      <c r="AF206" s="17" t="s">
        <v>356</v>
      </c>
      <c r="AG206" s="8" t="s">
        <v>356</v>
      </c>
      <c r="AH206" s="15" t="s">
        <v>356</v>
      </c>
      <c r="AI206" s="28" t="s">
        <v>130</v>
      </c>
      <c r="AJ206" s="40">
        <v>1</v>
      </c>
    </row>
    <row r="207" spans="1:36" ht="33" x14ac:dyDescent="0.25">
      <c r="A207" t="s">
        <v>353</v>
      </c>
      <c r="B207" s="34" t="s">
        <v>370</v>
      </c>
      <c r="C207" s="34" t="s">
        <v>372</v>
      </c>
      <c r="D207" s="32" t="str">
        <f t="shared" si="3"/>
        <v>Textile product mills (314)</v>
      </c>
      <c r="E207" s="37" t="str" cm="1">
        <f t="array" aca="1" ref="E207" ca="1">MID(C207,FIND("(",C207,LOOKUP(2,1/(MID(C207,ROW(INDIRECT("1:"&amp;LEN(C207))),1)="("),ROW(INDIRECT("1:"&amp;LEN(C207)))))+1,FIND(")",C207,LOOKUP(2,1/(MID(C207,ROW(INDIRECT("1:"&amp;LEN(C207))),1)="("),ROW(INDIRECT("1:"&amp;LEN(C207)))))-FIND("(",C207,LOOKUP(2,1/(MID(C207,ROW(INDIRECT("1:"&amp;LEN(C207))),1)="("),ROW(INDIRECT("1:"&amp;LEN(C207)))))-1)</f>
        <v>314</v>
      </c>
      <c r="F207" s="37"/>
      <c r="G207" s="37"/>
      <c r="H207" s="37"/>
      <c r="I207" s="37"/>
      <c r="J207" s="37"/>
      <c r="K207" s="37"/>
      <c r="L207" s="27" t="s">
        <v>41</v>
      </c>
      <c r="M207" s="2" t="s">
        <v>41</v>
      </c>
      <c r="N207" s="2" t="s">
        <v>41</v>
      </c>
      <c r="O207" s="2" t="s">
        <v>41</v>
      </c>
      <c r="P207" s="2" t="s">
        <v>41</v>
      </c>
      <c r="Q207" s="2" t="s">
        <v>41</v>
      </c>
      <c r="R207" s="2" t="s">
        <v>41</v>
      </c>
      <c r="S207" s="2" t="s">
        <v>41</v>
      </c>
      <c r="T207" s="2" t="s">
        <v>41</v>
      </c>
      <c r="U207" s="2" t="s">
        <v>41</v>
      </c>
      <c r="V207" s="2" t="s">
        <v>41</v>
      </c>
      <c r="W207" s="29" t="s">
        <v>41</v>
      </c>
      <c r="X207" s="8" t="s">
        <v>360</v>
      </c>
      <c r="Y207" s="8" t="s">
        <v>360</v>
      </c>
      <c r="Z207" s="2" t="s">
        <v>41</v>
      </c>
      <c r="AA207" s="8" t="s">
        <v>360</v>
      </c>
      <c r="AB207" s="8" t="s">
        <v>360</v>
      </c>
      <c r="AC207" s="8" t="s">
        <v>360</v>
      </c>
      <c r="AD207" s="8" t="s">
        <v>360</v>
      </c>
      <c r="AE207" s="8" t="s">
        <v>356</v>
      </c>
      <c r="AF207" s="17" t="s">
        <v>356</v>
      </c>
      <c r="AG207" s="8" t="s">
        <v>356</v>
      </c>
      <c r="AH207" s="15" t="s">
        <v>356</v>
      </c>
      <c r="AI207" s="28" t="s">
        <v>130</v>
      </c>
      <c r="AJ207" s="40">
        <v>1</v>
      </c>
    </row>
    <row r="208" spans="1:36" ht="33" x14ac:dyDescent="0.25">
      <c r="A208" t="s">
        <v>353</v>
      </c>
      <c r="B208" s="34" t="s">
        <v>373</v>
      </c>
      <c r="C208" s="34" t="s">
        <v>374</v>
      </c>
      <c r="D208" s="32" t="str">
        <f t="shared" si="3"/>
        <v>Apparel manufacturing (315)</v>
      </c>
      <c r="E208" s="37" t="str" cm="1">
        <f t="array" aca="1" ref="E208" ca="1">MID(C208,FIND("(",C208,LOOKUP(2,1/(MID(C208,ROW(INDIRECT("1:"&amp;LEN(C208))),1)="("),ROW(INDIRECT("1:"&amp;LEN(C208)))))+1,FIND(")",C208,LOOKUP(2,1/(MID(C208,ROW(INDIRECT("1:"&amp;LEN(C208))),1)="("),ROW(INDIRECT("1:"&amp;LEN(C208)))))-FIND("(",C208,LOOKUP(2,1/(MID(C208,ROW(INDIRECT("1:"&amp;LEN(C208))),1)="("),ROW(INDIRECT("1:"&amp;LEN(C208)))))-1)</f>
        <v>315</v>
      </c>
      <c r="F208" s="37"/>
      <c r="G208" s="37"/>
      <c r="H208" s="37"/>
      <c r="I208" s="37"/>
      <c r="J208" s="37"/>
      <c r="K208" s="37"/>
      <c r="L208" s="27" t="s">
        <v>41</v>
      </c>
      <c r="M208" s="2" t="s">
        <v>41</v>
      </c>
      <c r="N208" s="2" t="s">
        <v>41</v>
      </c>
      <c r="O208" s="2" t="s">
        <v>41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41</v>
      </c>
      <c r="U208" s="2" t="s">
        <v>41</v>
      </c>
      <c r="V208" s="2" t="s">
        <v>41</v>
      </c>
      <c r="W208" s="29" t="s">
        <v>41</v>
      </c>
      <c r="X208" s="8" t="s">
        <v>360</v>
      </c>
      <c r="Y208" s="8" t="s">
        <v>360</v>
      </c>
      <c r="Z208" s="2" t="s">
        <v>41</v>
      </c>
      <c r="AA208" s="8" t="s">
        <v>360</v>
      </c>
      <c r="AB208" s="8" t="s">
        <v>360</v>
      </c>
      <c r="AC208" s="8" t="s">
        <v>360</v>
      </c>
      <c r="AD208" s="8" t="s">
        <v>360</v>
      </c>
      <c r="AE208" s="8" t="s">
        <v>356</v>
      </c>
      <c r="AF208" s="17" t="s">
        <v>356</v>
      </c>
      <c r="AG208" s="8" t="s">
        <v>356</v>
      </c>
      <c r="AH208" s="15" t="s">
        <v>356</v>
      </c>
      <c r="AI208" s="28" t="s">
        <v>130</v>
      </c>
      <c r="AJ208" s="40">
        <v>1</v>
      </c>
    </row>
    <row r="209" spans="1:36" ht="33" x14ac:dyDescent="0.25">
      <c r="A209" t="s">
        <v>353</v>
      </c>
      <c r="B209" s="34" t="s">
        <v>375</v>
      </c>
      <c r="C209" s="34" t="s">
        <v>376</v>
      </c>
      <c r="D209" s="32" t="str">
        <f t="shared" si="3"/>
        <v>Leather and hide tanning and finishing (3161)</v>
      </c>
      <c r="E209" s="37" t="str" cm="1">
        <f t="array" aca="1" ref="E209" ca="1">MID(C209,FIND("(",C209,LOOKUP(2,1/(MID(C209,ROW(INDIRECT("1:"&amp;LEN(C209))),1)="("),ROW(INDIRECT("1:"&amp;LEN(C209)))))+1,FIND(")",C209,LOOKUP(2,1/(MID(C209,ROW(INDIRECT("1:"&amp;LEN(C209))),1)="("),ROW(INDIRECT("1:"&amp;LEN(C209)))))-FIND("(",C209,LOOKUP(2,1/(MID(C209,ROW(INDIRECT("1:"&amp;LEN(C209))),1)="("),ROW(INDIRECT("1:"&amp;LEN(C209)))))-1)</f>
        <v>3161</v>
      </c>
      <c r="F209" s="37"/>
      <c r="G209" s="37"/>
      <c r="H209" s="37"/>
      <c r="I209" s="37"/>
      <c r="J209" s="37"/>
      <c r="K209" s="37"/>
      <c r="L209" s="27" t="s">
        <v>41</v>
      </c>
      <c r="M209" s="2" t="s">
        <v>41</v>
      </c>
      <c r="N209" s="2" t="s">
        <v>41</v>
      </c>
      <c r="O209" s="2" t="s">
        <v>41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 t="s">
        <v>41</v>
      </c>
      <c r="V209" s="2" t="s">
        <v>41</v>
      </c>
      <c r="W209" s="29" t="s">
        <v>41</v>
      </c>
      <c r="X209" s="2" t="s">
        <v>166</v>
      </c>
      <c r="Y209" s="2" t="s">
        <v>166</v>
      </c>
      <c r="Z209" s="2" t="s">
        <v>166</v>
      </c>
      <c r="AA209" s="2" t="s">
        <v>166</v>
      </c>
      <c r="AB209" s="2" t="s">
        <v>166</v>
      </c>
      <c r="AC209" s="2" t="s">
        <v>166</v>
      </c>
      <c r="AD209" s="2" t="s">
        <v>166</v>
      </c>
      <c r="AE209" s="2" t="s">
        <v>166</v>
      </c>
      <c r="AF209" s="17" t="s">
        <v>356</v>
      </c>
      <c r="AG209" s="8" t="s">
        <v>356</v>
      </c>
      <c r="AH209" s="15" t="s">
        <v>356</v>
      </c>
      <c r="AI209" s="31" t="s">
        <v>130</v>
      </c>
      <c r="AJ209" s="40">
        <v>1</v>
      </c>
    </row>
    <row r="210" spans="1:36" ht="33" x14ac:dyDescent="0.25">
      <c r="A210" t="s">
        <v>353</v>
      </c>
      <c r="B210" s="34" t="s">
        <v>375</v>
      </c>
      <c r="C210" s="34" t="s">
        <v>377</v>
      </c>
      <c r="D210" s="32" t="str">
        <f t="shared" si="3"/>
        <v>Footwear manufacturing (3162)</v>
      </c>
      <c r="E210" s="37" t="str" cm="1">
        <f t="array" aca="1" ref="E210" ca="1">MID(C210,FIND("(",C210,LOOKUP(2,1/(MID(C210,ROW(INDIRECT("1:"&amp;LEN(C210))),1)="("),ROW(INDIRECT("1:"&amp;LEN(C210)))))+1,FIND(")",C210,LOOKUP(2,1/(MID(C210,ROW(INDIRECT("1:"&amp;LEN(C210))),1)="("),ROW(INDIRECT("1:"&amp;LEN(C210)))))-FIND("(",C210,LOOKUP(2,1/(MID(C210,ROW(INDIRECT("1:"&amp;LEN(C210))),1)="("),ROW(INDIRECT("1:"&amp;LEN(C210)))))-1)</f>
        <v>3162</v>
      </c>
      <c r="F210" s="37"/>
      <c r="G210" s="37"/>
      <c r="H210" s="37"/>
      <c r="I210" s="37"/>
      <c r="J210" s="37"/>
      <c r="K210" s="37"/>
      <c r="L210" s="27" t="s">
        <v>41</v>
      </c>
      <c r="M210" s="2" t="s">
        <v>41</v>
      </c>
      <c r="N210" s="2" t="s">
        <v>41</v>
      </c>
      <c r="O210" s="2" t="s">
        <v>41</v>
      </c>
      <c r="P210" s="2" t="s">
        <v>41</v>
      </c>
      <c r="Q210" s="2" t="s">
        <v>41</v>
      </c>
      <c r="R210" s="2" t="s">
        <v>41</v>
      </c>
      <c r="S210" s="2" t="s">
        <v>41</v>
      </c>
      <c r="T210" s="2" t="s">
        <v>41</v>
      </c>
      <c r="U210" s="2" t="s">
        <v>41</v>
      </c>
      <c r="V210" s="2" t="s">
        <v>41</v>
      </c>
      <c r="W210" s="29" t="s">
        <v>41</v>
      </c>
      <c r="X210" s="8" t="s">
        <v>360</v>
      </c>
      <c r="Y210" s="8" t="s">
        <v>360</v>
      </c>
      <c r="Z210" s="2" t="s">
        <v>41</v>
      </c>
      <c r="AA210" s="8" t="s">
        <v>360</v>
      </c>
      <c r="AB210" s="8" t="s">
        <v>360</v>
      </c>
      <c r="AC210" s="8" t="s">
        <v>360</v>
      </c>
      <c r="AD210" s="8" t="s">
        <v>360</v>
      </c>
      <c r="AE210" s="8" t="s">
        <v>356</v>
      </c>
      <c r="AF210" s="17" t="s">
        <v>356</v>
      </c>
      <c r="AG210" s="8" t="s">
        <v>356</v>
      </c>
      <c r="AH210" s="15" t="s">
        <v>356</v>
      </c>
      <c r="AI210" s="31" t="s">
        <v>130</v>
      </c>
      <c r="AJ210" s="40">
        <v>1</v>
      </c>
    </row>
    <row r="211" spans="1:36" ht="33" x14ac:dyDescent="0.25">
      <c r="A211" t="s">
        <v>353</v>
      </c>
      <c r="B211" s="34" t="s">
        <v>375</v>
      </c>
      <c r="C211" s="34" t="s">
        <v>378</v>
      </c>
      <c r="D211" s="32" t="str">
        <f t="shared" si="3"/>
        <v>Other leather and allied product manufacturing (3169)</v>
      </c>
      <c r="E211" s="37" t="str" cm="1">
        <f t="array" aca="1" ref="E211" ca="1">MID(C211,FIND("(",C211,LOOKUP(2,1/(MID(C211,ROW(INDIRECT("1:"&amp;LEN(C211))),1)="("),ROW(INDIRECT("1:"&amp;LEN(C211)))))+1,FIND(")",C211,LOOKUP(2,1/(MID(C211,ROW(INDIRECT("1:"&amp;LEN(C211))),1)="("),ROW(INDIRECT("1:"&amp;LEN(C211)))))-FIND("(",C211,LOOKUP(2,1/(MID(C211,ROW(INDIRECT("1:"&amp;LEN(C211))),1)="("),ROW(INDIRECT("1:"&amp;LEN(C211)))))-1)</f>
        <v>3169</v>
      </c>
      <c r="F211" s="37"/>
      <c r="G211" s="37"/>
      <c r="H211" s="37"/>
      <c r="I211" s="37"/>
      <c r="J211" s="37"/>
      <c r="K211" s="37"/>
      <c r="L211" s="27" t="s">
        <v>41</v>
      </c>
      <c r="M211" s="2" t="s">
        <v>41</v>
      </c>
      <c r="N211" s="2" t="s">
        <v>41</v>
      </c>
      <c r="O211" s="2" t="s">
        <v>41</v>
      </c>
      <c r="P211" s="2" t="s">
        <v>41</v>
      </c>
      <c r="Q211" s="2" t="s">
        <v>41</v>
      </c>
      <c r="R211" s="2" t="s">
        <v>41</v>
      </c>
      <c r="S211" s="2" t="s">
        <v>41</v>
      </c>
      <c r="T211" s="2" t="s">
        <v>41</v>
      </c>
      <c r="U211" s="2" t="s">
        <v>41</v>
      </c>
      <c r="V211" s="2" t="s">
        <v>41</v>
      </c>
      <c r="W211" s="29" t="s">
        <v>41</v>
      </c>
      <c r="X211" s="8" t="s">
        <v>360</v>
      </c>
      <c r="Y211" s="8" t="s">
        <v>360</v>
      </c>
      <c r="Z211" s="2" t="s">
        <v>41</v>
      </c>
      <c r="AA211" s="8" t="s">
        <v>360</v>
      </c>
      <c r="AB211" s="8" t="s">
        <v>360</v>
      </c>
      <c r="AC211" s="8" t="s">
        <v>360</v>
      </c>
      <c r="AD211" s="8" t="s">
        <v>360</v>
      </c>
      <c r="AE211" s="8" t="s">
        <v>356</v>
      </c>
      <c r="AF211" s="17" t="s">
        <v>356</v>
      </c>
      <c r="AG211" s="8" t="s">
        <v>356</v>
      </c>
      <c r="AH211" s="15" t="s">
        <v>356</v>
      </c>
      <c r="AI211" s="31" t="s">
        <v>130</v>
      </c>
      <c r="AJ211" s="40">
        <v>1</v>
      </c>
    </row>
    <row r="212" spans="1:36" ht="33" x14ac:dyDescent="0.25">
      <c r="A212" t="s">
        <v>353</v>
      </c>
      <c r="B212" s="34" t="s">
        <v>379</v>
      </c>
      <c r="C212" s="34" t="s">
        <v>380</v>
      </c>
      <c r="D212" s="32" t="str">
        <f t="shared" si="3"/>
        <v>Sawmills and wood preservation (3211)</v>
      </c>
      <c r="E212" s="37" t="str" cm="1">
        <f t="array" aca="1" ref="E212" ca="1">MID(C212,FIND("(",C212,LOOKUP(2,1/(MID(C212,ROW(INDIRECT("1:"&amp;LEN(C212))),1)="("),ROW(INDIRECT("1:"&amp;LEN(C212)))))+1,FIND(")",C212,LOOKUP(2,1/(MID(C212,ROW(INDIRECT("1:"&amp;LEN(C212))),1)="("),ROW(INDIRECT("1:"&amp;LEN(C212)))))-FIND("(",C212,LOOKUP(2,1/(MID(C212,ROW(INDIRECT("1:"&amp;LEN(C212))),1)="("),ROW(INDIRECT("1:"&amp;LEN(C212)))))-1)</f>
        <v>3211</v>
      </c>
      <c r="F212" s="37"/>
      <c r="G212" s="37"/>
      <c r="H212" s="37"/>
      <c r="I212" s="37"/>
      <c r="J212" s="37"/>
      <c r="K212" s="37"/>
      <c r="L212" s="27" t="s">
        <v>41</v>
      </c>
      <c r="M212" s="2" t="s">
        <v>41</v>
      </c>
      <c r="N212" s="2" t="s">
        <v>41</v>
      </c>
      <c r="O212" s="2" t="s">
        <v>41</v>
      </c>
      <c r="P212" s="2" t="s">
        <v>41</v>
      </c>
      <c r="Q212" s="2" t="s">
        <v>41</v>
      </c>
      <c r="R212" s="2" t="s">
        <v>41</v>
      </c>
      <c r="S212" s="2" t="s">
        <v>41</v>
      </c>
      <c r="T212" s="2" t="s">
        <v>41</v>
      </c>
      <c r="U212" s="2" t="s">
        <v>41</v>
      </c>
      <c r="V212" s="2" t="s">
        <v>41</v>
      </c>
      <c r="W212" s="29" t="s">
        <v>41</v>
      </c>
      <c r="X212" s="2" t="s">
        <v>166</v>
      </c>
      <c r="Y212" s="2" t="s">
        <v>166</v>
      </c>
      <c r="Z212" s="2" t="s">
        <v>166</v>
      </c>
      <c r="AA212" s="2" t="s">
        <v>166</v>
      </c>
      <c r="AB212" s="2" t="s">
        <v>166</v>
      </c>
      <c r="AC212" s="2" t="s">
        <v>166</v>
      </c>
      <c r="AD212" s="2" t="s">
        <v>166</v>
      </c>
      <c r="AE212" s="2" t="s">
        <v>166</v>
      </c>
      <c r="AF212" s="17" t="s">
        <v>356</v>
      </c>
      <c r="AG212" s="8" t="s">
        <v>356</v>
      </c>
      <c r="AH212" s="15" t="s">
        <v>356</v>
      </c>
      <c r="AI212" s="31" t="s">
        <v>130</v>
      </c>
      <c r="AJ212" s="40">
        <v>1</v>
      </c>
    </row>
    <row r="213" spans="1:36" ht="33" x14ac:dyDescent="0.25">
      <c r="A213" t="s">
        <v>353</v>
      </c>
      <c r="B213" s="34" t="s">
        <v>379</v>
      </c>
      <c r="C213" s="34" t="s">
        <v>381</v>
      </c>
      <c r="D213" s="32" t="str">
        <f t="shared" si="3"/>
        <v>Veneer, plywood, and engineered wood product manufacturing (3212)</v>
      </c>
      <c r="E213" s="37" t="str" cm="1">
        <f t="array" aca="1" ref="E213" ca="1">MID(C213,FIND("(",C213,LOOKUP(2,1/(MID(C213,ROW(INDIRECT("1:"&amp;LEN(C213))),1)="("),ROW(INDIRECT("1:"&amp;LEN(C213)))))+1,FIND(")",C213,LOOKUP(2,1/(MID(C213,ROW(INDIRECT("1:"&amp;LEN(C213))),1)="("),ROW(INDIRECT("1:"&amp;LEN(C213)))))-FIND("(",C213,LOOKUP(2,1/(MID(C213,ROW(INDIRECT("1:"&amp;LEN(C213))),1)="("),ROW(INDIRECT("1:"&amp;LEN(C213)))))-1)</f>
        <v>3212</v>
      </c>
      <c r="F213" s="37"/>
      <c r="G213" s="37"/>
      <c r="H213" s="37"/>
      <c r="I213" s="37"/>
      <c r="J213" s="37"/>
      <c r="K213" s="37"/>
      <c r="L213" s="27" t="s">
        <v>41</v>
      </c>
      <c r="M213" s="2" t="s">
        <v>41</v>
      </c>
      <c r="N213" s="2" t="s">
        <v>41</v>
      </c>
      <c r="O213" s="2" t="s">
        <v>41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41</v>
      </c>
      <c r="U213" s="2" t="s">
        <v>41</v>
      </c>
      <c r="V213" s="2" t="s">
        <v>41</v>
      </c>
      <c r="W213" s="29" t="s">
        <v>41</v>
      </c>
      <c r="X213" s="2" t="s">
        <v>166</v>
      </c>
      <c r="Y213" s="2" t="s">
        <v>166</v>
      </c>
      <c r="Z213" s="2" t="s">
        <v>166</v>
      </c>
      <c r="AA213" s="2" t="s">
        <v>166</v>
      </c>
      <c r="AB213" s="2" t="s">
        <v>166</v>
      </c>
      <c r="AC213" s="2" t="s">
        <v>166</v>
      </c>
      <c r="AD213" s="2" t="s">
        <v>166</v>
      </c>
      <c r="AE213" s="2" t="s">
        <v>166</v>
      </c>
      <c r="AF213" s="17" t="s">
        <v>356</v>
      </c>
      <c r="AG213" s="8" t="s">
        <v>356</v>
      </c>
      <c r="AH213" s="15" t="s">
        <v>356</v>
      </c>
      <c r="AI213" s="31" t="s">
        <v>130</v>
      </c>
      <c r="AJ213" s="40">
        <v>1</v>
      </c>
    </row>
    <row r="214" spans="1:36" ht="33" x14ac:dyDescent="0.25">
      <c r="A214" t="s">
        <v>353</v>
      </c>
      <c r="B214" s="34" t="s">
        <v>379</v>
      </c>
      <c r="C214" s="34" t="s">
        <v>382</v>
      </c>
      <c r="D214" s="32" t="str">
        <f t="shared" si="3"/>
        <v>Other wood product manufacturing (3219)</v>
      </c>
      <c r="E214" s="37" t="str" cm="1">
        <f t="array" aca="1" ref="E214" ca="1">MID(C214,FIND("(",C214,LOOKUP(2,1/(MID(C214,ROW(INDIRECT("1:"&amp;LEN(C214))),1)="("),ROW(INDIRECT("1:"&amp;LEN(C214)))))+1,FIND(")",C214,LOOKUP(2,1/(MID(C214,ROW(INDIRECT("1:"&amp;LEN(C214))),1)="("),ROW(INDIRECT("1:"&amp;LEN(C214)))))-FIND("(",C214,LOOKUP(2,1/(MID(C214,ROW(INDIRECT("1:"&amp;LEN(C214))),1)="("),ROW(INDIRECT("1:"&amp;LEN(C214)))))-1)</f>
        <v>3219</v>
      </c>
      <c r="F214" s="37"/>
      <c r="G214" s="37"/>
      <c r="H214" s="37"/>
      <c r="I214" s="37"/>
      <c r="J214" s="37"/>
      <c r="K214" s="37"/>
      <c r="L214" s="27" t="s">
        <v>41</v>
      </c>
      <c r="M214" s="2" t="s">
        <v>41</v>
      </c>
      <c r="N214" s="2" t="s">
        <v>41</v>
      </c>
      <c r="O214" s="2" t="s">
        <v>41</v>
      </c>
      <c r="P214" s="2" t="s">
        <v>41</v>
      </c>
      <c r="Q214" s="2" t="s">
        <v>41</v>
      </c>
      <c r="R214" s="2" t="s">
        <v>41</v>
      </c>
      <c r="S214" s="2" t="s">
        <v>41</v>
      </c>
      <c r="T214" s="2" t="s">
        <v>41</v>
      </c>
      <c r="U214" s="2" t="s">
        <v>41</v>
      </c>
      <c r="V214" s="2" t="s">
        <v>41</v>
      </c>
      <c r="W214" s="29" t="s">
        <v>41</v>
      </c>
      <c r="X214" s="8" t="s">
        <v>360</v>
      </c>
      <c r="Y214" s="8" t="s">
        <v>360</v>
      </c>
      <c r="Z214" s="2" t="s">
        <v>41</v>
      </c>
      <c r="AA214" s="8" t="s">
        <v>360</v>
      </c>
      <c r="AB214" s="8" t="s">
        <v>360</v>
      </c>
      <c r="AC214" s="8" t="s">
        <v>360</v>
      </c>
      <c r="AD214" s="8" t="s">
        <v>360</v>
      </c>
      <c r="AE214" s="8" t="s">
        <v>356</v>
      </c>
      <c r="AF214" s="17" t="s">
        <v>356</v>
      </c>
      <c r="AG214" s="8" t="s">
        <v>356</v>
      </c>
      <c r="AH214" s="15" t="s">
        <v>356</v>
      </c>
      <c r="AI214" s="31" t="s">
        <v>130</v>
      </c>
      <c r="AJ214" s="40">
        <v>1</v>
      </c>
    </row>
    <row r="215" spans="1:36" ht="33" x14ac:dyDescent="0.25">
      <c r="A215" t="s">
        <v>353</v>
      </c>
      <c r="B215" s="34" t="s">
        <v>383</v>
      </c>
      <c r="C215" s="5" t="s">
        <v>384</v>
      </c>
      <c r="D215" s="32" t="str">
        <f t="shared" si="3"/>
        <v>Pulp, paper, and paperboard mills (3221)</v>
      </c>
      <c r="E215" s="37" t="str" cm="1">
        <f t="array" aca="1" ref="E215" ca="1">MID(C215,FIND("(",C215,LOOKUP(2,1/(MID(C215,ROW(INDIRECT("1:"&amp;LEN(C215))),1)="("),ROW(INDIRECT("1:"&amp;LEN(C215)))))+1,FIND(")",C215,LOOKUP(2,1/(MID(C215,ROW(INDIRECT("1:"&amp;LEN(C215))),1)="("),ROW(INDIRECT("1:"&amp;LEN(C215)))))-FIND("(",C215,LOOKUP(2,1/(MID(C215,ROW(INDIRECT("1:"&amp;LEN(C215))),1)="("),ROW(INDIRECT("1:"&amp;LEN(C215)))))-1)</f>
        <v>3221</v>
      </c>
      <c r="F215" s="37"/>
      <c r="G215" s="37"/>
      <c r="H215" s="37"/>
      <c r="I215" s="37"/>
      <c r="J215" s="37"/>
      <c r="K215" s="37"/>
      <c r="L215" s="27" t="s">
        <v>41</v>
      </c>
      <c r="M215" s="2" t="s">
        <v>41</v>
      </c>
      <c r="N215" s="2" t="s">
        <v>41</v>
      </c>
      <c r="O215" s="2" t="s">
        <v>41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41</v>
      </c>
      <c r="U215" s="2" t="s">
        <v>41</v>
      </c>
      <c r="V215" s="2" t="s">
        <v>41</v>
      </c>
      <c r="W215" s="29" t="s">
        <v>41</v>
      </c>
      <c r="X215" s="2" t="s">
        <v>166</v>
      </c>
      <c r="Y215" s="2" t="s">
        <v>166</v>
      </c>
      <c r="Z215" s="2" t="s">
        <v>166</v>
      </c>
      <c r="AA215" s="2" t="s">
        <v>166</v>
      </c>
      <c r="AB215" s="2" t="s">
        <v>166</v>
      </c>
      <c r="AC215" s="2" t="s">
        <v>166</v>
      </c>
      <c r="AD215" s="2" t="s">
        <v>166</v>
      </c>
      <c r="AE215" s="2" t="s">
        <v>166</v>
      </c>
      <c r="AF215" s="17" t="s">
        <v>356</v>
      </c>
      <c r="AG215" s="8" t="s">
        <v>356</v>
      </c>
      <c r="AH215" s="15" t="s">
        <v>356</v>
      </c>
      <c r="AI215" s="35" t="s">
        <v>130</v>
      </c>
      <c r="AJ215" s="40">
        <v>1</v>
      </c>
    </row>
    <row r="216" spans="1:36" ht="33" x14ac:dyDescent="0.25">
      <c r="A216" t="s">
        <v>353</v>
      </c>
      <c r="B216" s="34" t="s">
        <v>383</v>
      </c>
      <c r="C216" s="5" t="s">
        <v>385</v>
      </c>
      <c r="D216" s="32" t="str">
        <f t="shared" si="3"/>
        <v>Stationary product manufacturing (32223)</v>
      </c>
      <c r="E216" s="37" t="str" cm="1">
        <f t="array" aca="1" ref="E216" ca="1">MID(C216,FIND("(",C216,LOOKUP(2,1/(MID(C216,ROW(INDIRECT("1:"&amp;LEN(C216))),1)="("),ROW(INDIRECT("1:"&amp;LEN(C216)))))+1,FIND(")",C216,LOOKUP(2,1/(MID(C216,ROW(INDIRECT("1:"&amp;LEN(C216))),1)="("),ROW(INDIRECT("1:"&amp;LEN(C216)))))-FIND("(",C216,LOOKUP(2,1/(MID(C216,ROW(INDIRECT("1:"&amp;LEN(C216))),1)="("),ROW(INDIRECT("1:"&amp;LEN(C216)))))-1)</f>
        <v>32223</v>
      </c>
      <c r="F216" s="37"/>
      <c r="G216" s="37"/>
      <c r="H216" s="37"/>
      <c r="I216" s="37"/>
      <c r="J216" s="37"/>
      <c r="K216" s="37"/>
      <c r="L216" s="27" t="s">
        <v>41</v>
      </c>
      <c r="M216" s="2" t="s">
        <v>41</v>
      </c>
      <c r="N216" s="2" t="s">
        <v>41</v>
      </c>
      <c r="O216" s="2" t="s">
        <v>41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41</v>
      </c>
      <c r="U216" s="2" t="s">
        <v>41</v>
      </c>
      <c r="V216" s="2" t="s">
        <v>41</v>
      </c>
      <c r="W216" s="29" t="s">
        <v>41</v>
      </c>
      <c r="X216" s="8" t="s">
        <v>360</v>
      </c>
      <c r="Y216" s="8" t="s">
        <v>360</v>
      </c>
      <c r="Z216" s="2" t="s">
        <v>41</v>
      </c>
      <c r="AA216" s="8" t="s">
        <v>360</v>
      </c>
      <c r="AB216" s="8" t="s">
        <v>360</v>
      </c>
      <c r="AC216" s="8" t="s">
        <v>360</v>
      </c>
      <c r="AD216" s="8" t="s">
        <v>360</v>
      </c>
      <c r="AE216" s="8" t="s">
        <v>356</v>
      </c>
      <c r="AF216" s="17" t="s">
        <v>356</v>
      </c>
      <c r="AG216" s="8" t="s">
        <v>356</v>
      </c>
      <c r="AH216" s="15" t="s">
        <v>356</v>
      </c>
      <c r="AI216" s="35" t="s">
        <v>130</v>
      </c>
      <c r="AJ216" s="40">
        <v>1</v>
      </c>
    </row>
    <row r="217" spans="1:36" ht="33" x14ac:dyDescent="0.25">
      <c r="A217" t="s">
        <v>353</v>
      </c>
      <c r="B217" s="34" t="s">
        <v>383</v>
      </c>
      <c r="C217" s="5" t="s">
        <v>386</v>
      </c>
      <c r="D217" s="32" t="str">
        <f t="shared" si="3"/>
        <v>All other converted paper product manufacturing (in 3222)</v>
      </c>
      <c r="E217" s="37" t="str" cm="1">
        <f t="array" aca="1" ref="E217" ca="1">MID(C217,FIND("(",C217,LOOKUP(2,1/(MID(C217,ROW(INDIRECT("1:"&amp;LEN(C217))),1)="("),ROW(INDIRECT("1:"&amp;LEN(C217)))))+1,FIND(")",C217,LOOKUP(2,1/(MID(C217,ROW(INDIRECT("1:"&amp;LEN(C217))),1)="("),ROW(INDIRECT("1:"&amp;LEN(C217)))))-FIND("(",C217,LOOKUP(2,1/(MID(C217,ROW(INDIRECT("1:"&amp;LEN(C217))),1)="("),ROW(INDIRECT("1:"&amp;LEN(C217)))))-1)</f>
        <v>in 3222</v>
      </c>
      <c r="F217" s="37" t="s">
        <v>387</v>
      </c>
      <c r="G217" s="37"/>
      <c r="H217" s="37"/>
      <c r="I217" s="37">
        <v>32223</v>
      </c>
      <c r="J217" s="37"/>
      <c r="K217" s="37"/>
      <c r="L217" s="27" t="s">
        <v>41</v>
      </c>
      <c r="M217" s="2" t="s">
        <v>41</v>
      </c>
      <c r="N217" s="2" t="s">
        <v>41</v>
      </c>
      <c r="O217" s="2" t="s">
        <v>41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41</v>
      </c>
      <c r="U217" s="2" t="s">
        <v>41</v>
      </c>
      <c r="V217" s="2" t="s">
        <v>41</v>
      </c>
      <c r="W217" s="29" t="s">
        <v>41</v>
      </c>
      <c r="X217" s="2" t="s">
        <v>41</v>
      </c>
      <c r="Y217" s="8" t="s">
        <v>360</v>
      </c>
      <c r="Z217" s="2" t="s">
        <v>41</v>
      </c>
      <c r="AA217" s="8" t="s">
        <v>360</v>
      </c>
      <c r="AB217" s="8" t="s">
        <v>360</v>
      </c>
      <c r="AC217" s="8" t="s">
        <v>360</v>
      </c>
      <c r="AD217" s="8" t="s">
        <v>360</v>
      </c>
      <c r="AE217" s="8" t="s">
        <v>356</v>
      </c>
      <c r="AF217" s="17" t="s">
        <v>356</v>
      </c>
      <c r="AG217" s="8" t="s">
        <v>356</v>
      </c>
      <c r="AH217" s="15" t="s">
        <v>356</v>
      </c>
      <c r="AI217" s="35" t="s">
        <v>130</v>
      </c>
      <c r="AJ217" s="40">
        <v>3</v>
      </c>
    </row>
    <row r="218" spans="1:36" ht="33" x14ac:dyDescent="0.25">
      <c r="A218" t="s">
        <v>353</v>
      </c>
      <c r="B218" s="34" t="s">
        <v>388</v>
      </c>
      <c r="C218" s="5" t="s">
        <v>389</v>
      </c>
      <c r="D218" s="32" t="str">
        <f t="shared" si="3"/>
        <v>Printing and related support activities (3231)</v>
      </c>
      <c r="E218" s="37" t="str" cm="1">
        <f t="array" aca="1" ref="E218" ca="1">MID(C218,FIND("(",C218,LOOKUP(2,1/(MID(C218,ROW(INDIRECT("1:"&amp;LEN(C218))),1)="("),ROW(INDIRECT("1:"&amp;LEN(C218)))))+1,FIND(")",C218,LOOKUP(2,1/(MID(C218,ROW(INDIRECT("1:"&amp;LEN(C218))),1)="("),ROW(INDIRECT("1:"&amp;LEN(C218)))))-FIND("(",C218,LOOKUP(2,1/(MID(C218,ROW(INDIRECT("1:"&amp;LEN(C218))),1)="("),ROW(INDIRECT("1:"&amp;LEN(C218)))))-1)</f>
        <v>3231</v>
      </c>
      <c r="F218" s="37"/>
      <c r="G218" s="37"/>
      <c r="H218" s="37"/>
      <c r="I218" s="37"/>
      <c r="J218" s="37"/>
      <c r="K218" s="37"/>
      <c r="L218" s="27" t="s">
        <v>41</v>
      </c>
      <c r="M218" s="2" t="s">
        <v>41</v>
      </c>
      <c r="N218" s="2" t="s">
        <v>41</v>
      </c>
      <c r="O218" s="2" t="s">
        <v>41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41</v>
      </c>
      <c r="U218" s="2" t="s">
        <v>41</v>
      </c>
      <c r="V218" s="2" t="s">
        <v>41</v>
      </c>
      <c r="W218" s="29" t="s">
        <v>41</v>
      </c>
      <c r="X218" s="8" t="s">
        <v>360</v>
      </c>
      <c r="Y218" s="8" t="s">
        <v>360</v>
      </c>
      <c r="Z218" s="2" t="s">
        <v>41</v>
      </c>
      <c r="AA218" s="8" t="s">
        <v>360</v>
      </c>
      <c r="AB218" s="8" t="s">
        <v>360</v>
      </c>
      <c r="AC218" s="8" t="s">
        <v>360</v>
      </c>
      <c r="AD218" s="8" t="s">
        <v>360</v>
      </c>
      <c r="AE218" s="8" t="s">
        <v>356</v>
      </c>
      <c r="AF218" s="17" t="s">
        <v>356</v>
      </c>
      <c r="AG218" s="8" t="s">
        <v>356</v>
      </c>
      <c r="AH218" s="15" t="s">
        <v>356</v>
      </c>
      <c r="AI218" s="35" t="s">
        <v>130</v>
      </c>
      <c r="AJ218" s="40">
        <v>1</v>
      </c>
    </row>
    <row r="219" spans="1:36" ht="33" x14ac:dyDescent="0.25">
      <c r="A219" t="s">
        <v>353</v>
      </c>
      <c r="B219" s="34" t="s">
        <v>390</v>
      </c>
      <c r="C219" s="5" t="s">
        <v>391</v>
      </c>
      <c r="D219" s="32" t="str">
        <f t="shared" si="3"/>
        <v>Petroleum and coal products manufacturing (3241)</v>
      </c>
      <c r="E219" s="37" t="str" cm="1">
        <f t="array" aca="1" ref="E219" ca="1">MID(C219,FIND("(",C219,LOOKUP(2,1/(MID(C219,ROW(INDIRECT("1:"&amp;LEN(C219))),1)="("),ROW(INDIRECT("1:"&amp;LEN(C219)))))+1,FIND(")",C219,LOOKUP(2,1/(MID(C219,ROW(INDIRECT("1:"&amp;LEN(C219))),1)="("),ROW(INDIRECT("1:"&amp;LEN(C219)))))-FIND("(",C219,LOOKUP(2,1/(MID(C219,ROW(INDIRECT("1:"&amp;LEN(C219))),1)="("),ROW(INDIRECT("1:"&amp;LEN(C219)))))-1)</f>
        <v>3241</v>
      </c>
      <c r="F219" s="37"/>
      <c r="G219" s="37"/>
      <c r="H219" s="37"/>
      <c r="I219" s="37"/>
      <c r="J219" s="37"/>
      <c r="K219" s="37"/>
      <c r="L219" s="27" t="s">
        <v>41</v>
      </c>
      <c r="M219" s="2" t="s">
        <v>41</v>
      </c>
      <c r="N219" s="2" t="s">
        <v>41</v>
      </c>
      <c r="O219" s="2" t="s">
        <v>41</v>
      </c>
      <c r="P219" s="2" t="s">
        <v>41</v>
      </c>
      <c r="Q219" s="2" t="s">
        <v>41</v>
      </c>
      <c r="R219" s="2" t="s">
        <v>41</v>
      </c>
      <c r="S219" s="2" t="s">
        <v>41</v>
      </c>
      <c r="T219" s="2" t="s">
        <v>41</v>
      </c>
      <c r="U219" s="2" t="s">
        <v>41</v>
      </c>
      <c r="V219" s="2" t="s">
        <v>41</v>
      </c>
      <c r="W219" s="29" t="s">
        <v>41</v>
      </c>
      <c r="X219" s="2" t="s">
        <v>166</v>
      </c>
      <c r="Y219" s="2" t="s">
        <v>166</v>
      </c>
      <c r="Z219" s="2" t="s">
        <v>166</v>
      </c>
      <c r="AA219" s="2" t="s">
        <v>166</v>
      </c>
      <c r="AB219" s="2" t="s">
        <v>166</v>
      </c>
      <c r="AC219" s="2" t="s">
        <v>166</v>
      </c>
      <c r="AD219" s="2" t="s">
        <v>166</v>
      </c>
      <c r="AE219" s="2" t="s">
        <v>166</v>
      </c>
      <c r="AF219" s="17" t="s">
        <v>356</v>
      </c>
      <c r="AG219" s="8" t="s">
        <v>356</v>
      </c>
      <c r="AH219" s="15" t="s">
        <v>356</v>
      </c>
      <c r="AI219" s="35" t="s">
        <v>130</v>
      </c>
      <c r="AJ219" s="40">
        <v>1</v>
      </c>
    </row>
    <row r="220" spans="1:36" ht="33" x14ac:dyDescent="0.25">
      <c r="A220" t="s">
        <v>353</v>
      </c>
      <c r="B220" s="34" t="s">
        <v>392</v>
      </c>
      <c r="C220" s="5" t="s">
        <v>393</v>
      </c>
      <c r="D220" s="32" t="str">
        <f t="shared" si="3"/>
        <v>Pharmaceutical and medicine manufacturing (3254)</v>
      </c>
      <c r="E220" s="37" t="str" cm="1">
        <f t="array" aca="1" ref="E220" ca="1">MID(C220,FIND("(",C220,LOOKUP(2,1/(MID(C220,ROW(INDIRECT("1:"&amp;LEN(C220))),1)="("),ROW(INDIRECT("1:"&amp;LEN(C220)))))+1,FIND(")",C220,LOOKUP(2,1/(MID(C220,ROW(INDIRECT("1:"&amp;LEN(C220))),1)="("),ROW(INDIRECT("1:"&amp;LEN(C220)))))-FIND("(",C220,LOOKUP(2,1/(MID(C220,ROW(INDIRECT("1:"&amp;LEN(C220))),1)="("),ROW(INDIRECT("1:"&amp;LEN(C220)))))-1)</f>
        <v>3254</v>
      </c>
      <c r="F220" s="37"/>
      <c r="G220" s="37"/>
      <c r="H220" s="37"/>
      <c r="I220" s="37"/>
      <c r="J220" s="37"/>
      <c r="K220" s="37"/>
      <c r="L220" s="27" t="s">
        <v>41</v>
      </c>
      <c r="M220" s="2" t="s">
        <v>41</v>
      </c>
      <c r="N220" s="2" t="s">
        <v>41</v>
      </c>
      <c r="O220" s="2" t="s">
        <v>41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9" t="s">
        <v>41</v>
      </c>
      <c r="X220" s="2" t="s">
        <v>41</v>
      </c>
      <c r="Y220" s="8" t="s">
        <v>360</v>
      </c>
      <c r="Z220" s="2" t="s">
        <v>41</v>
      </c>
      <c r="AA220" s="8" t="s">
        <v>360</v>
      </c>
      <c r="AB220" s="8" t="s">
        <v>360</v>
      </c>
      <c r="AC220" s="8" t="s">
        <v>360</v>
      </c>
      <c r="AD220" s="8" t="s">
        <v>360</v>
      </c>
      <c r="AE220" s="8" t="s">
        <v>356</v>
      </c>
      <c r="AF220" s="17" t="s">
        <v>356</v>
      </c>
      <c r="AG220" s="8" t="s">
        <v>356</v>
      </c>
      <c r="AH220" s="15" t="s">
        <v>356</v>
      </c>
      <c r="AI220" s="35" t="s">
        <v>130</v>
      </c>
      <c r="AJ220" s="40">
        <v>1</v>
      </c>
    </row>
    <row r="221" spans="1:36" ht="45" x14ac:dyDescent="0.25">
      <c r="A221" t="s">
        <v>353</v>
      </c>
      <c r="B221" s="34" t="s">
        <v>392</v>
      </c>
      <c r="C221" s="5" t="s">
        <v>394</v>
      </c>
      <c r="D221" s="32" t="str">
        <f t="shared" si="3"/>
        <v>Soap and other detergent manufacturing (325611)</v>
      </c>
      <c r="E221" s="37" t="str" cm="1">
        <f t="array" aca="1" ref="E221" ca="1">MID(C221,FIND("(",C221,LOOKUP(2,1/(MID(C221,ROW(INDIRECT("1:"&amp;LEN(C221))),1)="("),ROW(INDIRECT("1:"&amp;LEN(C221)))))+1,FIND(")",C221,LOOKUP(2,1/(MID(C221,ROW(INDIRECT("1:"&amp;LEN(C221))),1)="("),ROW(INDIRECT("1:"&amp;LEN(C221)))))-FIND("(",C221,LOOKUP(2,1/(MID(C221,ROW(INDIRECT("1:"&amp;LEN(C221))),1)="("),ROW(INDIRECT("1:"&amp;LEN(C221)))))-1)</f>
        <v>325611</v>
      </c>
      <c r="F221" s="37"/>
      <c r="G221" s="37"/>
      <c r="H221" s="37"/>
      <c r="I221" s="37"/>
      <c r="J221" s="37"/>
      <c r="K221" s="37"/>
      <c r="L221" s="27" t="s">
        <v>41</v>
      </c>
      <c r="M221" s="2" t="s">
        <v>41</v>
      </c>
      <c r="N221" s="2" t="s">
        <v>41</v>
      </c>
      <c r="O221" s="2" t="s">
        <v>41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41</v>
      </c>
      <c r="U221" s="2" t="s">
        <v>41</v>
      </c>
      <c r="V221" s="2" t="s">
        <v>41</v>
      </c>
      <c r="W221" s="29" t="s">
        <v>41</v>
      </c>
      <c r="X221" s="8" t="s">
        <v>360</v>
      </c>
      <c r="Y221" s="8" t="s">
        <v>360</v>
      </c>
      <c r="Z221" s="2" t="s">
        <v>41</v>
      </c>
      <c r="AA221" s="8" t="s">
        <v>360</v>
      </c>
      <c r="AB221" s="8" t="s">
        <v>360</v>
      </c>
      <c r="AC221" s="8" t="s">
        <v>360</v>
      </c>
      <c r="AD221" s="8" t="s">
        <v>360</v>
      </c>
      <c r="AE221" s="8" t="s">
        <v>356</v>
      </c>
      <c r="AF221" s="17" t="s">
        <v>356</v>
      </c>
      <c r="AG221" s="8" t="s">
        <v>356</v>
      </c>
      <c r="AH221" s="15" t="s">
        <v>356</v>
      </c>
      <c r="AI221" s="35" t="s">
        <v>130</v>
      </c>
      <c r="AJ221" s="40">
        <v>1</v>
      </c>
    </row>
    <row r="222" spans="1:36" ht="60" x14ac:dyDescent="0.25">
      <c r="A222" t="s">
        <v>353</v>
      </c>
      <c r="B222" s="34" t="s">
        <v>392</v>
      </c>
      <c r="C222" s="5" t="s">
        <v>395</v>
      </c>
      <c r="D222" s="32" t="str">
        <f t="shared" si="3"/>
        <v>All other soap, cleaning compound and toilet preparation manufacturing (in 3256)</v>
      </c>
      <c r="E222" s="37" t="str" cm="1">
        <f t="array" aca="1" ref="E222" ca="1">MID(C222,FIND("(",C222,LOOKUP(2,1/(MID(C222,ROW(INDIRECT("1:"&amp;LEN(C222))),1)="("),ROW(INDIRECT("1:"&amp;LEN(C222)))))+1,FIND(")",C222,LOOKUP(2,1/(MID(C222,ROW(INDIRECT("1:"&amp;LEN(C222))),1)="("),ROW(INDIRECT("1:"&amp;LEN(C222)))))-FIND("(",C222,LOOKUP(2,1/(MID(C222,ROW(INDIRECT("1:"&amp;LEN(C222))),1)="("),ROW(INDIRECT("1:"&amp;LEN(C222)))))-1)</f>
        <v>in 3256</v>
      </c>
      <c r="F222" s="37" t="s">
        <v>396</v>
      </c>
      <c r="G222" s="37"/>
      <c r="H222" s="37"/>
      <c r="I222" s="37">
        <v>325611</v>
      </c>
      <c r="J222" s="37"/>
      <c r="K222" s="37"/>
      <c r="L222" s="27" t="s">
        <v>41</v>
      </c>
      <c r="M222" s="2" t="s">
        <v>41</v>
      </c>
      <c r="N222" s="2" t="s">
        <v>41</v>
      </c>
      <c r="O222" s="2" t="s">
        <v>41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41</v>
      </c>
      <c r="U222" s="2" t="s">
        <v>41</v>
      </c>
      <c r="V222" s="2" t="s">
        <v>41</v>
      </c>
      <c r="W222" s="29" t="s">
        <v>41</v>
      </c>
      <c r="X222" s="2" t="s">
        <v>41</v>
      </c>
      <c r="Y222" s="8" t="s">
        <v>360</v>
      </c>
      <c r="Z222" s="2" t="s">
        <v>41</v>
      </c>
      <c r="AA222" s="8" t="s">
        <v>360</v>
      </c>
      <c r="AB222" s="8" t="s">
        <v>360</v>
      </c>
      <c r="AC222" s="8" t="s">
        <v>360</v>
      </c>
      <c r="AD222" s="8" t="s">
        <v>360</v>
      </c>
      <c r="AE222" s="8" t="s">
        <v>356</v>
      </c>
      <c r="AF222" s="17" t="s">
        <v>356</v>
      </c>
      <c r="AG222" s="8" t="s">
        <v>356</v>
      </c>
      <c r="AH222" s="15" t="s">
        <v>356</v>
      </c>
      <c r="AI222" s="35" t="s">
        <v>130</v>
      </c>
      <c r="AJ222" s="40">
        <v>3</v>
      </c>
    </row>
    <row r="223" spans="1:36" ht="33" x14ac:dyDescent="0.25">
      <c r="A223" t="s">
        <v>353</v>
      </c>
      <c r="B223" s="34" t="s">
        <v>392</v>
      </c>
      <c r="C223" s="5" t="s">
        <v>397</v>
      </c>
      <c r="D223" s="32" t="str">
        <f t="shared" si="3"/>
        <v>All other chemical manufacturing (in 325)</v>
      </c>
      <c r="E223" s="37" t="str" cm="1">
        <f t="array" aca="1" ref="E223" ca="1">MID(C223,FIND("(",C223,LOOKUP(2,1/(MID(C223,ROW(INDIRECT("1:"&amp;LEN(C223))),1)="("),ROW(INDIRECT("1:"&amp;LEN(C223)))))+1,FIND(")",C223,LOOKUP(2,1/(MID(C223,ROW(INDIRECT("1:"&amp;LEN(C223))),1)="("),ROW(INDIRECT("1:"&amp;LEN(C223)))))-FIND("(",C223,LOOKUP(2,1/(MID(C223,ROW(INDIRECT("1:"&amp;LEN(C223))),1)="("),ROW(INDIRECT("1:"&amp;LEN(C223)))))-1)</f>
        <v>in 325</v>
      </c>
      <c r="F223" s="37" t="s">
        <v>398</v>
      </c>
      <c r="G223" s="37"/>
      <c r="H223" s="37"/>
      <c r="I223" s="37" t="s">
        <v>446</v>
      </c>
      <c r="J223" s="37"/>
      <c r="K223" s="37"/>
      <c r="L223" s="27" t="s">
        <v>41</v>
      </c>
      <c r="M223" s="2" t="s">
        <v>41</v>
      </c>
      <c r="N223" s="2" t="s">
        <v>41</v>
      </c>
      <c r="O223" s="2" t="s">
        <v>41</v>
      </c>
      <c r="P223" s="2" t="s">
        <v>41</v>
      </c>
      <c r="Q223" s="2" t="s">
        <v>41</v>
      </c>
      <c r="R223" s="2" t="s">
        <v>41</v>
      </c>
      <c r="S223" s="2" t="s">
        <v>41</v>
      </c>
      <c r="T223" s="2" t="s">
        <v>41</v>
      </c>
      <c r="U223" s="2" t="s">
        <v>41</v>
      </c>
      <c r="V223" s="2" t="s">
        <v>41</v>
      </c>
      <c r="W223" s="29" t="s">
        <v>41</v>
      </c>
      <c r="X223" s="3" t="s">
        <v>166</v>
      </c>
      <c r="Y223" s="2" t="s">
        <v>166</v>
      </c>
      <c r="Z223" s="2" t="s">
        <v>166</v>
      </c>
      <c r="AA223" s="2" t="s">
        <v>166</v>
      </c>
      <c r="AB223" s="2" t="s">
        <v>166</v>
      </c>
      <c r="AC223" s="2" t="s">
        <v>166</v>
      </c>
      <c r="AD223" s="2" t="s">
        <v>166</v>
      </c>
      <c r="AE223" s="2" t="s">
        <v>166</v>
      </c>
      <c r="AF223" s="17" t="s">
        <v>356</v>
      </c>
      <c r="AG223" s="8" t="s">
        <v>356</v>
      </c>
      <c r="AH223" s="15" t="s">
        <v>356</v>
      </c>
      <c r="AI223" s="29" t="s">
        <v>130</v>
      </c>
      <c r="AJ223" s="40">
        <v>3</v>
      </c>
    </row>
    <row r="224" spans="1:36" ht="33" x14ac:dyDescent="0.25">
      <c r="A224" t="s">
        <v>353</v>
      </c>
      <c r="B224" s="34" t="s">
        <v>399</v>
      </c>
      <c r="C224" s="5" t="s">
        <v>400</v>
      </c>
      <c r="D224" s="32" t="str">
        <f t="shared" si="3"/>
        <v>Plastics and rubber products manufacturing (326)</v>
      </c>
      <c r="E224" s="37" t="str" cm="1">
        <f t="array" aca="1" ref="E224" ca="1">MID(C224,FIND("(",C224,LOOKUP(2,1/(MID(C224,ROW(INDIRECT("1:"&amp;LEN(C224))),1)="("),ROW(INDIRECT("1:"&amp;LEN(C224)))))+1,FIND(")",C224,LOOKUP(2,1/(MID(C224,ROW(INDIRECT("1:"&amp;LEN(C224))),1)="("),ROW(INDIRECT("1:"&amp;LEN(C224)))))-FIND("(",C224,LOOKUP(2,1/(MID(C224,ROW(INDIRECT("1:"&amp;LEN(C224))),1)="("),ROW(INDIRECT("1:"&amp;LEN(C224)))))-1)</f>
        <v>326</v>
      </c>
      <c r="F224" s="37"/>
      <c r="G224" s="37"/>
      <c r="H224" s="37"/>
      <c r="I224" s="37"/>
      <c r="J224" s="37"/>
      <c r="K224" s="37"/>
      <c r="L224" s="27" t="s">
        <v>41</v>
      </c>
      <c r="M224" s="2" t="s">
        <v>41</v>
      </c>
      <c r="N224" s="2" t="s">
        <v>41</v>
      </c>
      <c r="O224" s="2" t="s">
        <v>41</v>
      </c>
      <c r="P224" s="2" t="s">
        <v>41</v>
      </c>
      <c r="Q224" s="2" t="s">
        <v>41</v>
      </c>
      <c r="R224" s="2" t="s">
        <v>41</v>
      </c>
      <c r="S224" s="2" t="s">
        <v>41</v>
      </c>
      <c r="T224" s="2" t="s">
        <v>41</v>
      </c>
      <c r="U224" s="2" t="s">
        <v>41</v>
      </c>
      <c r="V224" s="2" t="s">
        <v>41</v>
      </c>
      <c r="W224" s="29" t="s">
        <v>41</v>
      </c>
      <c r="X224" s="2" t="s">
        <v>41</v>
      </c>
      <c r="Y224" s="2" t="s">
        <v>41</v>
      </c>
      <c r="Z224" s="2" t="s">
        <v>41</v>
      </c>
      <c r="AA224" s="2" t="s">
        <v>41</v>
      </c>
      <c r="AB224" s="2" t="s">
        <v>41</v>
      </c>
      <c r="AC224" s="2" t="s">
        <v>41</v>
      </c>
      <c r="AD224" s="2" t="s">
        <v>41</v>
      </c>
      <c r="AE224" s="2" t="s">
        <v>41</v>
      </c>
      <c r="AF224" s="17" t="s">
        <v>356</v>
      </c>
      <c r="AG224" s="8" t="s">
        <v>356</v>
      </c>
      <c r="AH224" s="15" t="s">
        <v>356</v>
      </c>
      <c r="AI224" s="35" t="s">
        <v>130</v>
      </c>
      <c r="AJ224" s="40">
        <v>1</v>
      </c>
    </row>
    <row r="225" spans="1:36" ht="33" x14ac:dyDescent="0.25">
      <c r="A225" t="s">
        <v>353</v>
      </c>
      <c r="B225" s="34" t="s">
        <v>401</v>
      </c>
      <c r="C225" s="34" t="s">
        <v>402</v>
      </c>
      <c r="D225" s="32" t="str">
        <f t="shared" si="3"/>
        <v>Clay building material and refractories manufacturing (32712)</v>
      </c>
      <c r="E225" s="37" t="str" cm="1">
        <f t="array" aca="1" ref="E225" ca="1">MID(C225,FIND("(",C225,LOOKUP(2,1/(MID(C225,ROW(INDIRECT("1:"&amp;LEN(C225))),1)="("),ROW(INDIRECT("1:"&amp;LEN(C225)))))+1,FIND(")",C225,LOOKUP(2,1/(MID(C225,ROW(INDIRECT("1:"&amp;LEN(C225))),1)="("),ROW(INDIRECT("1:"&amp;LEN(C225)))))-FIND("(",C225,LOOKUP(2,1/(MID(C225,ROW(INDIRECT("1:"&amp;LEN(C225))),1)="("),ROW(INDIRECT("1:"&amp;LEN(C225)))))-1)</f>
        <v>32712</v>
      </c>
      <c r="F225" s="37"/>
      <c r="G225" s="37"/>
      <c r="H225" s="37"/>
      <c r="I225" s="37"/>
      <c r="J225" s="37"/>
      <c r="K225" s="37"/>
      <c r="L225" s="27" t="s">
        <v>41</v>
      </c>
      <c r="M225" s="2" t="s">
        <v>41</v>
      </c>
      <c r="N225" s="2" t="s">
        <v>41</v>
      </c>
      <c r="O225" s="2" t="s">
        <v>41</v>
      </c>
      <c r="P225" s="2" t="s">
        <v>41</v>
      </c>
      <c r="Q225" s="2" t="s">
        <v>41</v>
      </c>
      <c r="R225" s="2" t="s">
        <v>41</v>
      </c>
      <c r="S225" s="2" t="s">
        <v>41</v>
      </c>
      <c r="T225" s="2" t="s">
        <v>41</v>
      </c>
      <c r="U225" s="2" t="s">
        <v>41</v>
      </c>
      <c r="V225" s="2" t="s">
        <v>41</v>
      </c>
      <c r="W225" s="29" t="s">
        <v>41</v>
      </c>
      <c r="X225" s="2" t="s">
        <v>166</v>
      </c>
      <c r="Y225" s="2" t="s">
        <v>166</v>
      </c>
      <c r="Z225" s="2" t="s">
        <v>166</v>
      </c>
      <c r="AA225" s="2" t="s">
        <v>166</v>
      </c>
      <c r="AB225" s="2" t="s">
        <v>166</v>
      </c>
      <c r="AC225" s="2" t="s">
        <v>166</v>
      </c>
      <c r="AD225" s="2" t="s">
        <v>166</v>
      </c>
      <c r="AE225" s="2" t="s">
        <v>166</v>
      </c>
      <c r="AF225" s="17" t="s">
        <v>356</v>
      </c>
      <c r="AG225" s="8" t="s">
        <v>356</v>
      </c>
      <c r="AH225" s="15" t="s">
        <v>356</v>
      </c>
      <c r="AI225" s="28" t="s">
        <v>130</v>
      </c>
      <c r="AJ225" s="40">
        <v>1</v>
      </c>
    </row>
    <row r="226" spans="1:36" ht="33" x14ac:dyDescent="0.25">
      <c r="A226" t="s">
        <v>353</v>
      </c>
      <c r="B226" s="34" t="s">
        <v>401</v>
      </c>
      <c r="C226" s="34" t="s">
        <v>403</v>
      </c>
      <c r="D226" s="32" t="str">
        <f t="shared" si="3"/>
        <v>All other clay product and refractory manufacturing (in 3271)</v>
      </c>
      <c r="E226" s="37" t="str" cm="1">
        <f t="array" aca="1" ref="E226" ca="1">MID(C226,FIND("(",C226,LOOKUP(2,1/(MID(C226,ROW(INDIRECT("1:"&amp;LEN(C226))),1)="("),ROW(INDIRECT("1:"&amp;LEN(C226)))))+1,FIND(")",C226,LOOKUP(2,1/(MID(C226,ROW(INDIRECT("1:"&amp;LEN(C226))),1)="("),ROW(INDIRECT("1:"&amp;LEN(C226)))))-FIND("(",C226,LOOKUP(2,1/(MID(C226,ROW(INDIRECT("1:"&amp;LEN(C226))),1)="("),ROW(INDIRECT("1:"&amp;LEN(C226)))))-1)</f>
        <v>in 3271</v>
      </c>
      <c r="F226" s="37" t="s">
        <v>404</v>
      </c>
      <c r="G226" s="37"/>
      <c r="H226" s="37"/>
      <c r="I226" s="37">
        <v>32712</v>
      </c>
      <c r="J226" s="37"/>
      <c r="K226" s="37"/>
      <c r="L226" s="27" t="s">
        <v>41</v>
      </c>
      <c r="M226" s="2" t="s">
        <v>41</v>
      </c>
      <c r="N226" s="2" t="s">
        <v>41</v>
      </c>
      <c r="O226" s="2" t="s">
        <v>41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41</v>
      </c>
      <c r="U226" s="2" t="s">
        <v>41</v>
      </c>
      <c r="V226" s="2" t="s">
        <v>41</v>
      </c>
      <c r="W226" s="29" t="s">
        <v>41</v>
      </c>
      <c r="X226" s="8" t="s">
        <v>360</v>
      </c>
      <c r="Y226" s="8" t="s">
        <v>360</v>
      </c>
      <c r="Z226" s="2" t="s">
        <v>41</v>
      </c>
      <c r="AA226" s="8" t="s">
        <v>360</v>
      </c>
      <c r="AB226" s="8" t="s">
        <v>360</v>
      </c>
      <c r="AC226" s="8" t="s">
        <v>360</v>
      </c>
      <c r="AD226" s="8" t="s">
        <v>360</v>
      </c>
      <c r="AE226" s="8" t="s">
        <v>356</v>
      </c>
      <c r="AF226" s="17" t="s">
        <v>356</v>
      </c>
      <c r="AG226" s="8" t="s">
        <v>356</v>
      </c>
      <c r="AH226" s="15" t="s">
        <v>356</v>
      </c>
      <c r="AI226" s="28" t="s">
        <v>130</v>
      </c>
      <c r="AJ226" s="40">
        <v>3</v>
      </c>
    </row>
    <row r="227" spans="1:36" ht="33" x14ac:dyDescent="0.25">
      <c r="A227" t="s">
        <v>353</v>
      </c>
      <c r="B227" s="34" t="s">
        <v>401</v>
      </c>
      <c r="C227" s="34" t="s">
        <v>405</v>
      </c>
      <c r="D227" s="32" t="str">
        <f t="shared" si="3"/>
        <v>Flat glass manufacturing (327211)</v>
      </c>
      <c r="E227" s="37" t="str" cm="1">
        <f t="array" aca="1" ref="E227" ca="1">MID(C227,FIND("(",C227,LOOKUP(2,1/(MID(C227,ROW(INDIRECT("1:"&amp;LEN(C227))),1)="("),ROW(INDIRECT("1:"&amp;LEN(C227)))))+1,FIND(")",C227,LOOKUP(2,1/(MID(C227,ROW(INDIRECT("1:"&amp;LEN(C227))),1)="("),ROW(INDIRECT("1:"&amp;LEN(C227)))))-FIND("(",C227,LOOKUP(2,1/(MID(C227,ROW(INDIRECT("1:"&amp;LEN(C227))),1)="("),ROW(INDIRECT("1:"&amp;LEN(C227)))))-1)</f>
        <v>327211</v>
      </c>
      <c r="F227" s="37"/>
      <c r="G227" s="37"/>
      <c r="H227" s="37"/>
      <c r="I227" s="37"/>
      <c r="J227" s="37"/>
      <c r="K227" s="37"/>
      <c r="L227" s="27" t="s">
        <v>41</v>
      </c>
      <c r="M227" s="2" t="s">
        <v>41</v>
      </c>
      <c r="N227" s="2" t="s">
        <v>41</v>
      </c>
      <c r="O227" s="2" t="s">
        <v>41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41</v>
      </c>
      <c r="U227" s="2" t="s">
        <v>41</v>
      </c>
      <c r="V227" s="2" t="s">
        <v>41</v>
      </c>
      <c r="W227" s="29" t="s">
        <v>41</v>
      </c>
      <c r="X227" s="2" t="s">
        <v>41</v>
      </c>
      <c r="Y227" s="2" t="s">
        <v>41</v>
      </c>
      <c r="Z227" s="2" t="s">
        <v>41</v>
      </c>
      <c r="AA227" s="2" t="s">
        <v>41</v>
      </c>
      <c r="AB227" s="2" t="s">
        <v>41</v>
      </c>
      <c r="AC227" s="2" t="s">
        <v>41</v>
      </c>
      <c r="AD227" s="2" t="s">
        <v>41</v>
      </c>
      <c r="AE227" s="2" t="s">
        <v>41</v>
      </c>
      <c r="AF227" s="17" t="s">
        <v>356</v>
      </c>
      <c r="AG227" s="8" t="s">
        <v>356</v>
      </c>
      <c r="AH227" s="15" t="s">
        <v>356</v>
      </c>
      <c r="AI227" s="28" t="s">
        <v>130</v>
      </c>
      <c r="AJ227" s="40">
        <v>1</v>
      </c>
    </row>
    <row r="228" spans="1:36" ht="45" x14ac:dyDescent="0.25">
      <c r="A228" t="s">
        <v>353</v>
      </c>
      <c r="B228" s="34" t="s">
        <v>401</v>
      </c>
      <c r="C228" s="34" t="s">
        <v>406</v>
      </c>
      <c r="D228" s="32" t="str">
        <f t="shared" si="3"/>
        <v>Other pressed and blown glass and glassware manufacturing (327212)</v>
      </c>
      <c r="E228" s="37" t="str" cm="1">
        <f t="array" aca="1" ref="E228" ca="1">MID(C228,FIND("(",C228,LOOKUP(2,1/(MID(C228,ROW(INDIRECT("1:"&amp;LEN(C228))),1)="("),ROW(INDIRECT("1:"&amp;LEN(C228)))))+1,FIND(")",C228,LOOKUP(2,1/(MID(C228,ROW(INDIRECT("1:"&amp;LEN(C228))),1)="("),ROW(INDIRECT("1:"&amp;LEN(C228)))))-FIND("(",C228,LOOKUP(2,1/(MID(C228,ROW(INDIRECT("1:"&amp;LEN(C228))),1)="("),ROW(INDIRECT("1:"&amp;LEN(C228)))))-1)</f>
        <v>327212</v>
      </c>
      <c r="F228" s="37"/>
      <c r="G228" s="37"/>
      <c r="H228" s="37"/>
      <c r="I228" s="37"/>
      <c r="J228" s="37"/>
      <c r="K228" s="37"/>
      <c r="L228" s="27" t="s">
        <v>41</v>
      </c>
      <c r="M228" s="2" t="s">
        <v>41</v>
      </c>
      <c r="N228" s="2" t="s">
        <v>41</v>
      </c>
      <c r="O228" s="2" t="s">
        <v>41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41</v>
      </c>
      <c r="U228" s="2" t="s">
        <v>41</v>
      </c>
      <c r="V228" s="2" t="s">
        <v>41</v>
      </c>
      <c r="W228" s="29" t="s">
        <v>41</v>
      </c>
      <c r="X228" s="2" t="s">
        <v>41</v>
      </c>
      <c r="Y228" s="2" t="s">
        <v>41</v>
      </c>
      <c r="Z228" s="2" t="s">
        <v>41</v>
      </c>
      <c r="AA228" s="2" t="s">
        <v>41</v>
      </c>
      <c r="AB228" s="2" t="s">
        <v>41</v>
      </c>
      <c r="AC228" s="2" t="s">
        <v>41</v>
      </c>
      <c r="AD228" s="2" t="s">
        <v>41</v>
      </c>
      <c r="AE228" s="2" t="s">
        <v>41</v>
      </c>
      <c r="AF228" s="17" t="s">
        <v>356</v>
      </c>
      <c r="AG228" s="8" t="s">
        <v>356</v>
      </c>
      <c r="AH228" s="15" t="s">
        <v>356</v>
      </c>
      <c r="AI228" s="28" t="s">
        <v>130</v>
      </c>
      <c r="AJ228" s="40">
        <v>1</v>
      </c>
    </row>
    <row r="229" spans="1:36" ht="33" x14ac:dyDescent="0.25">
      <c r="A229" t="s">
        <v>353</v>
      </c>
      <c r="B229" s="34" t="s">
        <v>401</v>
      </c>
      <c r="C229" s="34" t="s">
        <v>407</v>
      </c>
      <c r="D229" s="32" t="str">
        <f t="shared" si="3"/>
        <v>All other glass and glass product manufacturing (in 3272)</v>
      </c>
      <c r="E229" s="37" t="str" cm="1">
        <f t="array" aca="1" ref="E229" ca="1">MID(C229,FIND("(",C229,LOOKUP(2,1/(MID(C229,ROW(INDIRECT("1:"&amp;LEN(C229))),1)="("),ROW(INDIRECT("1:"&amp;LEN(C229)))))+1,FIND(")",C229,LOOKUP(2,1/(MID(C229,ROW(INDIRECT("1:"&amp;LEN(C229))),1)="("),ROW(INDIRECT("1:"&amp;LEN(C229)))))-FIND("(",C229,LOOKUP(2,1/(MID(C229,ROW(INDIRECT("1:"&amp;LEN(C229))),1)="("),ROW(INDIRECT("1:"&amp;LEN(C229)))))-1)</f>
        <v>in 3272</v>
      </c>
      <c r="F229" s="37" t="s">
        <v>408</v>
      </c>
      <c r="G229" s="37"/>
      <c r="H229" s="37"/>
      <c r="I229" s="37" t="s">
        <v>447</v>
      </c>
      <c r="J229" s="37"/>
      <c r="K229" s="37"/>
      <c r="L229" s="27" t="s">
        <v>41</v>
      </c>
      <c r="M229" s="2" t="s">
        <v>41</v>
      </c>
      <c r="N229" s="2" t="s">
        <v>41</v>
      </c>
      <c r="O229" s="2" t="s">
        <v>41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41</v>
      </c>
      <c r="U229" s="2" t="s">
        <v>41</v>
      </c>
      <c r="V229" s="2" t="s">
        <v>41</v>
      </c>
      <c r="W229" s="29" t="s">
        <v>41</v>
      </c>
      <c r="X229" s="8" t="s">
        <v>360</v>
      </c>
      <c r="Y229" s="8" t="s">
        <v>360</v>
      </c>
      <c r="Z229" s="2" t="s">
        <v>41</v>
      </c>
      <c r="AA229" s="8" t="s">
        <v>360</v>
      </c>
      <c r="AB229" s="8" t="s">
        <v>360</v>
      </c>
      <c r="AC229" s="8" t="s">
        <v>360</v>
      </c>
      <c r="AD229" s="8" t="s">
        <v>360</v>
      </c>
      <c r="AE229" s="8" t="s">
        <v>356</v>
      </c>
      <c r="AF229" s="17" t="s">
        <v>356</v>
      </c>
      <c r="AG229" s="8" t="s">
        <v>356</v>
      </c>
      <c r="AH229" s="15" t="s">
        <v>356</v>
      </c>
      <c r="AI229" s="28" t="s">
        <v>130</v>
      </c>
      <c r="AJ229" s="40">
        <v>3</v>
      </c>
    </row>
    <row r="230" spans="1:36" ht="33" x14ac:dyDescent="0.25">
      <c r="A230" t="s">
        <v>353</v>
      </c>
      <c r="B230" s="34" t="s">
        <v>401</v>
      </c>
      <c r="C230" s="34" t="s">
        <v>409</v>
      </c>
      <c r="D230" s="32" t="str">
        <f t="shared" si="3"/>
        <v>All other nonmetallic mineral product manufacturing (in 327)</v>
      </c>
      <c r="E230" s="37" t="str" cm="1">
        <f t="array" aca="1" ref="E230" ca="1">MID(C230,FIND("(",C230,LOOKUP(2,1/(MID(C230,ROW(INDIRECT("1:"&amp;LEN(C230))),1)="("),ROW(INDIRECT("1:"&amp;LEN(C230)))))+1,FIND(")",C230,LOOKUP(2,1/(MID(C230,ROW(INDIRECT("1:"&amp;LEN(C230))),1)="("),ROW(INDIRECT("1:"&amp;LEN(C230)))))-FIND("(",C230,LOOKUP(2,1/(MID(C230,ROW(INDIRECT("1:"&amp;LEN(C230))),1)="("),ROW(INDIRECT("1:"&amp;LEN(C230)))))-1)</f>
        <v>in 327</v>
      </c>
      <c r="F230" s="37" t="s">
        <v>410</v>
      </c>
      <c r="G230" s="37"/>
      <c r="H230" s="37"/>
      <c r="I230" s="37" t="s">
        <v>448</v>
      </c>
      <c r="J230" s="37"/>
      <c r="K230" s="37"/>
      <c r="L230" s="27" t="s">
        <v>41</v>
      </c>
      <c r="M230" s="2" t="s">
        <v>41</v>
      </c>
      <c r="N230" s="2" t="s">
        <v>41</v>
      </c>
      <c r="O230" s="2" t="s">
        <v>41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41</v>
      </c>
      <c r="U230" s="2" t="s">
        <v>41</v>
      </c>
      <c r="V230" s="2" t="s">
        <v>41</v>
      </c>
      <c r="W230" s="29" t="s">
        <v>41</v>
      </c>
      <c r="X230" s="2" t="s">
        <v>166</v>
      </c>
      <c r="Y230" s="2" t="s">
        <v>166</v>
      </c>
      <c r="Z230" s="2" t="s">
        <v>166</v>
      </c>
      <c r="AA230" s="2" t="s">
        <v>166</v>
      </c>
      <c r="AB230" s="2" t="s">
        <v>166</v>
      </c>
      <c r="AC230" s="2" t="s">
        <v>166</v>
      </c>
      <c r="AD230" s="2" t="s">
        <v>166</v>
      </c>
      <c r="AE230" s="2" t="s">
        <v>166</v>
      </c>
      <c r="AF230" s="17" t="s">
        <v>356</v>
      </c>
      <c r="AG230" s="8" t="s">
        <v>356</v>
      </c>
      <c r="AH230" s="15" t="s">
        <v>356</v>
      </c>
      <c r="AI230" s="28" t="s">
        <v>130</v>
      </c>
      <c r="AJ230" s="40">
        <v>3</v>
      </c>
    </row>
    <row r="231" spans="1:36" ht="45" x14ac:dyDescent="0.25">
      <c r="A231" t="s">
        <v>353</v>
      </c>
      <c r="B231" s="34" t="s">
        <v>411</v>
      </c>
      <c r="C231" s="34" t="s">
        <v>412</v>
      </c>
      <c r="D231" s="32" t="str">
        <f t="shared" si="3"/>
        <v>Primary metal manufacturing (331)</v>
      </c>
      <c r="E231" s="37" t="str" cm="1">
        <f t="array" aca="1" ref="E231" ca="1">MID(C231,FIND("(",C231,LOOKUP(2,1/(MID(C231,ROW(INDIRECT("1:"&amp;LEN(C231))),1)="("),ROW(INDIRECT("1:"&amp;LEN(C231)))))+1,FIND(")",C231,LOOKUP(2,1/(MID(C231,ROW(INDIRECT("1:"&amp;LEN(C231))),1)="("),ROW(INDIRECT("1:"&amp;LEN(C231)))))-FIND("(",C231,LOOKUP(2,1/(MID(C231,ROW(INDIRECT("1:"&amp;LEN(C231))),1)="("),ROW(INDIRECT("1:"&amp;LEN(C231)))))-1)</f>
        <v>331</v>
      </c>
      <c r="F231" s="37"/>
      <c r="G231" s="37"/>
      <c r="H231" s="37"/>
      <c r="I231" s="37"/>
      <c r="J231" s="37"/>
      <c r="K231" s="37"/>
      <c r="L231" s="27" t="s">
        <v>41</v>
      </c>
      <c r="M231" s="2" t="s">
        <v>41</v>
      </c>
      <c r="N231" s="2" t="s">
        <v>41</v>
      </c>
      <c r="O231" s="2" t="s">
        <v>41</v>
      </c>
      <c r="P231" s="2" t="s">
        <v>41</v>
      </c>
      <c r="Q231" s="2" t="s">
        <v>41</v>
      </c>
      <c r="R231" s="2" t="s">
        <v>41</v>
      </c>
      <c r="S231" s="2" t="s">
        <v>41</v>
      </c>
      <c r="T231" s="2" t="s">
        <v>41</v>
      </c>
      <c r="U231" s="2" t="s">
        <v>41</v>
      </c>
      <c r="V231" s="2" t="s">
        <v>41</v>
      </c>
      <c r="W231" s="29" t="s">
        <v>41</v>
      </c>
      <c r="X231" s="2" t="s">
        <v>41</v>
      </c>
      <c r="Y231" s="2" t="s">
        <v>41</v>
      </c>
      <c r="Z231" s="2" t="s">
        <v>41</v>
      </c>
      <c r="AA231" s="2" t="s">
        <v>41</v>
      </c>
      <c r="AB231" s="2" t="s">
        <v>41</v>
      </c>
      <c r="AC231" s="2" t="s">
        <v>41</v>
      </c>
      <c r="AD231" s="2" t="s">
        <v>41</v>
      </c>
      <c r="AE231" s="2" t="s">
        <v>41</v>
      </c>
      <c r="AF231" s="17" t="s">
        <v>356</v>
      </c>
      <c r="AG231" s="8" t="s">
        <v>356</v>
      </c>
      <c r="AH231" s="15" t="s">
        <v>356</v>
      </c>
      <c r="AI231" s="28" t="s">
        <v>130</v>
      </c>
      <c r="AJ231" s="40">
        <v>1</v>
      </c>
    </row>
    <row r="232" spans="1:36" ht="45" x14ac:dyDescent="0.25">
      <c r="A232" t="s">
        <v>353</v>
      </c>
      <c r="B232" s="34" t="s">
        <v>411</v>
      </c>
      <c r="C232" s="34" t="s">
        <v>413</v>
      </c>
      <c r="D232" s="32" t="str">
        <f t="shared" si="3"/>
        <v>Cutlery and handtool manufacturing (3322)</v>
      </c>
      <c r="E232" s="37" t="str" cm="1">
        <f t="array" aca="1" ref="E232" ca="1">MID(C232,FIND("(",C232,LOOKUP(2,1/(MID(C232,ROW(INDIRECT("1:"&amp;LEN(C232))),1)="("),ROW(INDIRECT("1:"&amp;LEN(C232)))))+1,FIND(")",C232,LOOKUP(2,1/(MID(C232,ROW(INDIRECT("1:"&amp;LEN(C232))),1)="("),ROW(INDIRECT("1:"&amp;LEN(C232)))))-FIND("(",C232,LOOKUP(2,1/(MID(C232,ROW(INDIRECT("1:"&amp;LEN(C232))),1)="("),ROW(INDIRECT("1:"&amp;LEN(C232)))))-1)</f>
        <v>3322</v>
      </c>
      <c r="F232" s="37"/>
      <c r="G232" s="37"/>
      <c r="H232" s="37"/>
      <c r="I232" s="37"/>
      <c r="J232" s="37"/>
      <c r="K232" s="37"/>
      <c r="L232" s="27" t="s">
        <v>41</v>
      </c>
      <c r="M232" s="2" t="s">
        <v>41</v>
      </c>
      <c r="N232" s="2" t="s">
        <v>41</v>
      </c>
      <c r="O232" s="2" t="s">
        <v>41</v>
      </c>
      <c r="P232" s="2" t="s">
        <v>41</v>
      </c>
      <c r="Q232" s="2" t="s">
        <v>41</v>
      </c>
      <c r="R232" s="2" t="s">
        <v>41</v>
      </c>
      <c r="S232" s="2" t="s">
        <v>41</v>
      </c>
      <c r="T232" s="2" t="s">
        <v>41</v>
      </c>
      <c r="U232" s="2" t="s">
        <v>41</v>
      </c>
      <c r="V232" s="2" t="s">
        <v>41</v>
      </c>
      <c r="W232" s="29" t="s">
        <v>41</v>
      </c>
      <c r="X232" s="8" t="s">
        <v>360</v>
      </c>
      <c r="Y232" s="8" t="s">
        <v>360</v>
      </c>
      <c r="Z232" s="2" t="s">
        <v>41</v>
      </c>
      <c r="AA232" s="8" t="s">
        <v>360</v>
      </c>
      <c r="AB232" s="8" t="s">
        <v>360</v>
      </c>
      <c r="AC232" s="8" t="s">
        <v>360</v>
      </c>
      <c r="AD232" s="8" t="s">
        <v>360</v>
      </c>
      <c r="AE232" s="8" t="s">
        <v>356</v>
      </c>
      <c r="AF232" s="17" t="s">
        <v>356</v>
      </c>
      <c r="AG232" s="8" t="s">
        <v>356</v>
      </c>
      <c r="AH232" s="15" t="s">
        <v>356</v>
      </c>
      <c r="AI232" s="28" t="s">
        <v>130</v>
      </c>
      <c r="AJ232" s="40">
        <v>1</v>
      </c>
    </row>
    <row r="233" spans="1:36" ht="45" x14ac:dyDescent="0.25">
      <c r="A233" t="s">
        <v>353</v>
      </c>
      <c r="B233" s="34" t="s">
        <v>411</v>
      </c>
      <c r="C233" s="34" t="s">
        <v>414</v>
      </c>
      <c r="D233" s="32" t="str">
        <f t="shared" si="3"/>
        <v>All other fabricated metal product manufacturing (in 332)</v>
      </c>
      <c r="E233" s="37" t="str" cm="1">
        <f t="array" aca="1" ref="E233" ca="1">MID(C233,FIND("(",C233,LOOKUP(2,1/(MID(C233,ROW(INDIRECT("1:"&amp;LEN(C233))),1)="("),ROW(INDIRECT("1:"&amp;LEN(C233)))))+1,FIND(")",C233,LOOKUP(2,1/(MID(C233,ROW(INDIRECT("1:"&amp;LEN(C233))),1)="("),ROW(INDIRECT("1:"&amp;LEN(C233)))))-FIND("(",C233,LOOKUP(2,1/(MID(C233,ROW(INDIRECT("1:"&amp;LEN(C233))),1)="("),ROW(INDIRECT("1:"&amp;LEN(C233)))))-1)</f>
        <v>in 332</v>
      </c>
      <c r="F233" s="37" t="s">
        <v>415</v>
      </c>
      <c r="G233" s="37"/>
      <c r="H233" s="37"/>
      <c r="I233" s="37">
        <v>3322</v>
      </c>
      <c r="J233" s="37"/>
      <c r="K233" s="37"/>
      <c r="L233" s="27" t="s">
        <v>41</v>
      </c>
      <c r="M233" s="2" t="s">
        <v>41</v>
      </c>
      <c r="N233" s="2" t="s">
        <v>41</v>
      </c>
      <c r="O233" s="2" t="s">
        <v>41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41</v>
      </c>
      <c r="U233" s="2" t="s">
        <v>41</v>
      </c>
      <c r="V233" s="2" t="s">
        <v>41</v>
      </c>
      <c r="W233" s="29" t="s">
        <v>41</v>
      </c>
      <c r="X233" s="2" t="s">
        <v>41</v>
      </c>
      <c r="Y233" s="8" t="s">
        <v>360</v>
      </c>
      <c r="Z233" s="2" t="s">
        <v>41</v>
      </c>
      <c r="AA233" s="8" t="s">
        <v>360</v>
      </c>
      <c r="AB233" s="8" t="s">
        <v>360</v>
      </c>
      <c r="AC233" s="8" t="s">
        <v>360</v>
      </c>
      <c r="AD233" s="8" t="s">
        <v>360</v>
      </c>
      <c r="AE233" s="8" t="s">
        <v>356</v>
      </c>
      <c r="AF233" s="17" t="s">
        <v>356</v>
      </c>
      <c r="AG233" s="8" t="s">
        <v>356</v>
      </c>
      <c r="AH233" s="15" t="s">
        <v>356</v>
      </c>
      <c r="AI233" s="28" t="s">
        <v>130</v>
      </c>
      <c r="AJ233" s="40">
        <v>3</v>
      </c>
    </row>
    <row r="234" spans="1:36" ht="33" x14ac:dyDescent="0.25">
      <c r="A234" t="s">
        <v>353</v>
      </c>
      <c r="B234" s="34" t="s">
        <v>416</v>
      </c>
      <c r="C234" s="34" t="s">
        <v>417</v>
      </c>
      <c r="D234" s="32" t="str">
        <f t="shared" si="3"/>
        <v>Agriculture, construction and mining machinery manufacturing (3331)</v>
      </c>
      <c r="E234" s="37" t="str" cm="1">
        <f t="array" aca="1" ref="E234" ca="1">MID(C234,FIND("(",C234,LOOKUP(2,1/(MID(C234,ROW(INDIRECT("1:"&amp;LEN(C234))),1)="("),ROW(INDIRECT("1:"&amp;LEN(C234)))))+1,FIND(")",C234,LOOKUP(2,1/(MID(C234,ROW(INDIRECT("1:"&amp;LEN(C234))),1)="("),ROW(INDIRECT("1:"&amp;LEN(C234)))))-FIND("(",C234,LOOKUP(2,1/(MID(C234,ROW(INDIRECT("1:"&amp;LEN(C234))),1)="("),ROW(INDIRECT("1:"&amp;LEN(C234)))))-1)</f>
        <v>3331</v>
      </c>
      <c r="F234" s="37"/>
      <c r="G234" s="37"/>
      <c r="H234" s="37"/>
      <c r="I234" s="37"/>
      <c r="J234" s="37"/>
      <c r="K234" s="37"/>
      <c r="L234" s="27" t="s">
        <v>41</v>
      </c>
      <c r="M234" s="2" t="s">
        <v>41</v>
      </c>
      <c r="N234" s="2" t="s">
        <v>41</v>
      </c>
      <c r="O234" s="2" t="s">
        <v>41</v>
      </c>
      <c r="P234" s="2" t="s">
        <v>41</v>
      </c>
      <c r="Q234" s="2" t="s">
        <v>41</v>
      </c>
      <c r="R234" s="2" t="s">
        <v>41</v>
      </c>
      <c r="S234" s="2" t="s">
        <v>41</v>
      </c>
      <c r="T234" s="2" t="s">
        <v>41</v>
      </c>
      <c r="U234" s="2" t="s">
        <v>41</v>
      </c>
      <c r="V234" s="2" t="s">
        <v>41</v>
      </c>
      <c r="W234" s="29" t="s">
        <v>41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  <c r="AD234" s="2" t="s">
        <v>41</v>
      </c>
      <c r="AE234" s="2" t="s">
        <v>41</v>
      </c>
      <c r="AF234" s="17" t="s">
        <v>356</v>
      </c>
      <c r="AG234" s="8" t="s">
        <v>356</v>
      </c>
      <c r="AH234" s="15" t="s">
        <v>356</v>
      </c>
      <c r="AI234" s="28" t="s">
        <v>130</v>
      </c>
      <c r="AJ234" s="40">
        <v>1</v>
      </c>
    </row>
    <row r="235" spans="1:36" ht="33" x14ac:dyDescent="0.25">
      <c r="A235" t="s">
        <v>353</v>
      </c>
      <c r="B235" s="34" t="s">
        <v>416</v>
      </c>
      <c r="C235" s="34" t="s">
        <v>418</v>
      </c>
      <c r="D235" s="32" t="str">
        <f t="shared" si="3"/>
        <v>All other machinery manufacturing (in 333)</v>
      </c>
      <c r="E235" s="37" t="str" cm="1">
        <f t="array" aca="1" ref="E235" ca="1">MID(C235,FIND("(",C235,LOOKUP(2,1/(MID(C235,ROW(INDIRECT("1:"&amp;LEN(C235))),1)="("),ROW(INDIRECT("1:"&amp;LEN(C235)))))+1,FIND(")",C235,LOOKUP(2,1/(MID(C235,ROW(INDIRECT("1:"&amp;LEN(C235))),1)="("),ROW(INDIRECT("1:"&amp;LEN(C235)))))-FIND("(",C235,LOOKUP(2,1/(MID(C235,ROW(INDIRECT("1:"&amp;LEN(C235))),1)="("),ROW(INDIRECT("1:"&amp;LEN(C235)))))-1)</f>
        <v>in 333</v>
      </c>
      <c r="F235" s="37" t="s">
        <v>419</v>
      </c>
      <c r="G235" s="37"/>
      <c r="H235" s="37"/>
      <c r="I235" s="37">
        <v>3331</v>
      </c>
      <c r="J235" s="37"/>
      <c r="K235" s="37"/>
      <c r="L235" s="27" t="s">
        <v>41</v>
      </c>
      <c r="M235" s="2" t="s">
        <v>41</v>
      </c>
      <c r="N235" s="2" t="s">
        <v>41</v>
      </c>
      <c r="O235" s="2" t="s">
        <v>41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41</v>
      </c>
      <c r="U235" s="2" t="s">
        <v>41</v>
      </c>
      <c r="V235" s="2" t="s">
        <v>41</v>
      </c>
      <c r="W235" s="29" t="s">
        <v>41</v>
      </c>
      <c r="X235" s="2" t="s">
        <v>41</v>
      </c>
      <c r="Y235" s="8" t="s">
        <v>360</v>
      </c>
      <c r="Z235" s="2" t="s">
        <v>41</v>
      </c>
      <c r="AA235" s="8" t="s">
        <v>360</v>
      </c>
      <c r="AB235" s="8" t="s">
        <v>360</v>
      </c>
      <c r="AC235" s="8" t="s">
        <v>360</v>
      </c>
      <c r="AD235" s="8" t="s">
        <v>360</v>
      </c>
      <c r="AE235" s="8" t="s">
        <v>356</v>
      </c>
      <c r="AF235" s="17" t="s">
        <v>356</v>
      </c>
      <c r="AG235" s="8" t="s">
        <v>356</v>
      </c>
      <c r="AH235" s="15" t="s">
        <v>356</v>
      </c>
      <c r="AI235" s="28" t="s">
        <v>130</v>
      </c>
      <c r="AJ235" s="40">
        <v>3</v>
      </c>
    </row>
    <row r="236" spans="1:36" ht="33" x14ac:dyDescent="0.25">
      <c r="A236" t="s">
        <v>353</v>
      </c>
      <c r="B236" s="34" t="s">
        <v>420</v>
      </c>
      <c r="C236" s="34" t="s">
        <v>421</v>
      </c>
      <c r="D236" s="32" t="str">
        <f t="shared" si="3"/>
        <v>Computer and peripheral equipment manufacturing (334)</v>
      </c>
      <c r="E236" s="37" t="str" cm="1">
        <f t="array" aca="1" ref="E236" ca="1">MID(C236,FIND("(",C236,LOOKUP(2,1/(MID(C236,ROW(INDIRECT("1:"&amp;LEN(C236))),1)="("),ROW(INDIRECT("1:"&amp;LEN(C236)))))+1,FIND(")",C236,LOOKUP(2,1/(MID(C236,ROW(INDIRECT("1:"&amp;LEN(C236))),1)="("),ROW(INDIRECT("1:"&amp;LEN(C236)))))-FIND("(",C236,LOOKUP(2,1/(MID(C236,ROW(INDIRECT("1:"&amp;LEN(C236))),1)="("),ROW(INDIRECT("1:"&amp;LEN(C236)))))-1)</f>
        <v>334</v>
      </c>
      <c r="F236" s="37"/>
      <c r="G236" s="37"/>
      <c r="H236" s="37"/>
      <c r="I236" s="37"/>
      <c r="J236" s="37"/>
      <c r="K236" s="37"/>
      <c r="L236" s="27" t="s">
        <v>41</v>
      </c>
      <c r="M236" s="2" t="s">
        <v>41</v>
      </c>
      <c r="N236" s="2" t="s">
        <v>41</v>
      </c>
      <c r="O236" s="2" t="s">
        <v>41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41</v>
      </c>
      <c r="U236" s="2" t="s">
        <v>41</v>
      </c>
      <c r="V236" s="2" t="s">
        <v>41</v>
      </c>
      <c r="W236" s="29" t="s">
        <v>41</v>
      </c>
      <c r="X236" s="8" t="s">
        <v>360</v>
      </c>
      <c r="Y236" s="8" t="s">
        <v>360</v>
      </c>
      <c r="Z236" s="2" t="s">
        <v>41</v>
      </c>
      <c r="AA236" s="8" t="s">
        <v>360</v>
      </c>
      <c r="AB236" s="8" t="s">
        <v>360</v>
      </c>
      <c r="AC236" s="8" t="s">
        <v>360</v>
      </c>
      <c r="AD236" s="8" t="s">
        <v>360</v>
      </c>
      <c r="AE236" s="8" t="s">
        <v>356</v>
      </c>
      <c r="AF236" s="17" t="s">
        <v>356</v>
      </c>
      <c r="AG236" s="8" t="s">
        <v>356</v>
      </c>
      <c r="AH236" s="15" t="s">
        <v>356</v>
      </c>
      <c r="AI236" s="28" t="s">
        <v>130</v>
      </c>
      <c r="AJ236" s="40">
        <v>1</v>
      </c>
    </row>
    <row r="237" spans="1:36" ht="45" x14ac:dyDescent="0.25">
      <c r="A237" t="s">
        <v>353</v>
      </c>
      <c r="B237" s="34" t="s">
        <v>422</v>
      </c>
      <c r="C237" s="34" t="s">
        <v>423</v>
      </c>
      <c r="D237" s="32" t="str">
        <f t="shared" si="3"/>
        <v>Electric lighting equipment manufacturing (3351)</v>
      </c>
      <c r="E237" s="37" t="str" cm="1">
        <f t="array" aca="1" ref="E237" ca="1">MID(C237,FIND("(",C237,LOOKUP(2,1/(MID(C237,ROW(INDIRECT("1:"&amp;LEN(C237))),1)="("),ROW(INDIRECT("1:"&amp;LEN(C237)))))+1,FIND(")",C237,LOOKUP(2,1/(MID(C237,ROW(INDIRECT("1:"&amp;LEN(C237))),1)="("),ROW(INDIRECT("1:"&amp;LEN(C237)))))-FIND("(",C237,LOOKUP(2,1/(MID(C237,ROW(INDIRECT("1:"&amp;LEN(C237))),1)="("),ROW(INDIRECT("1:"&amp;LEN(C237)))))-1)</f>
        <v>3351</v>
      </c>
      <c r="F237" s="37"/>
      <c r="G237" s="37"/>
      <c r="H237" s="37"/>
      <c r="I237" s="37"/>
      <c r="J237" s="37"/>
      <c r="K237" s="37"/>
      <c r="L237" s="27" t="s">
        <v>41</v>
      </c>
      <c r="M237" s="2" t="s">
        <v>41</v>
      </c>
      <c r="N237" s="2" t="s">
        <v>41</v>
      </c>
      <c r="O237" s="2" t="s">
        <v>41</v>
      </c>
      <c r="P237" s="2" t="s">
        <v>41</v>
      </c>
      <c r="Q237" s="2" t="s">
        <v>41</v>
      </c>
      <c r="R237" s="2" t="s">
        <v>41</v>
      </c>
      <c r="S237" s="2" t="s">
        <v>41</v>
      </c>
      <c r="T237" s="2" t="s">
        <v>41</v>
      </c>
      <c r="U237" s="2" t="s">
        <v>41</v>
      </c>
      <c r="V237" s="2" t="s">
        <v>41</v>
      </c>
      <c r="W237" s="29" t="s">
        <v>41</v>
      </c>
      <c r="X237" s="8" t="s">
        <v>360</v>
      </c>
      <c r="Y237" s="8" t="s">
        <v>360</v>
      </c>
      <c r="Z237" s="2" t="s">
        <v>41</v>
      </c>
      <c r="AA237" s="8" t="s">
        <v>360</v>
      </c>
      <c r="AB237" s="8" t="s">
        <v>360</v>
      </c>
      <c r="AC237" s="8" t="s">
        <v>360</v>
      </c>
      <c r="AD237" s="8" t="s">
        <v>360</v>
      </c>
      <c r="AE237" s="8" t="s">
        <v>356</v>
      </c>
      <c r="AF237" s="17" t="s">
        <v>356</v>
      </c>
      <c r="AG237" s="8" t="s">
        <v>356</v>
      </c>
      <c r="AH237" s="15" t="s">
        <v>356</v>
      </c>
      <c r="AI237" s="28" t="s">
        <v>130</v>
      </c>
      <c r="AJ237" s="40">
        <v>1</v>
      </c>
    </row>
    <row r="238" spans="1:36" ht="45" x14ac:dyDescent="0.25">
      <c r="A238" t="s">
        <v>353</v>
      </c>
      <c r="B238" s="34" t="s">
        <v>422</v>
      </c>
      <c r="C238" s="34" t="s">
        <v>424</v>
      </c>
      <c r="D238" s="32" t="str">
        <f t="shared" si="3"/>
        <v>Small electrical appliance manufacturing (33521)</v>
      </c>
      <c r="E238" s="37" t="str" cm="1">
        <f t="array" aca="1" ref="E238" ca="1">MID(C238,FIND("(",C238,LOOKUP(2,1/(MID(C238,ROW(INDIRECT("1:"&amp;LEN(C238))),1)="("),ROW(INDIRECT("1:"&amp;LEN(C238)))))+1,FIND(")",C238,LOOKUP(2,1/(MID(C238,ROW(INDIRECT("1:"&amp;LEN(C238))),1)="("),ROW(INDIRECT("1:"&amp;LEN(C238)))))-FIND("(",C238,LOOKUP(2,1/(MID(C238,ROW(INDIRECT("1:"&amp;LEN(C238))),1)="("),ROW(INDIRECT("1:"&amp;LEN(C238)))))-1)</f>
        <v>33521</v>
      </c>
      <c r="F238" s="37"/>
      <c r="G238" s="37"/>
      <c r="H238" s="37"/>
      <c r="I238" s="37"/>
      <c r="J238" s="37"/>
      <c r="K238" s="37"/>
      <c r="L238" s="27" t="s">
        <v>41</v>
      </c>
      <c r="M238" s="2" t="s">
        <v>41</v>
      </c>
      <c r="N238" s="2" t="s">
        <v>41</v>
      </c>
      <c r="O238" s="2" t="s">
        <v>41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41</v>
      </c>
      <c r="U238" s="2" t="s">
        <v>41</v>
      </c>
      <c r="V238" s="2" t="s">
        <v>41</v>
      </c>
      <c r="W238" s="29" t="s">
        <v>41</v>
      </c>
      <c r="X238" s="8" t="s">
        <v>360</v>
      </c>
      <c r="Y238" s="8" t="s">
        <v>360</v>
      </c>
      <c r="Z238" s="2" t="s">
        <v>41</v>
      </c>
      <c r="AA238" s="8" t="s">
        <v>360</v>
      </c>
      <c r="AB238" s="8" t="s">
        <v>360</v>
      </c>
      <c r="AC238" s="8" t="s">
        <v>360</v>
      </c>
      <c r="AD238" s="8" t="s">
        <v>360</v>
      </c>
      <c r="AE238" s="8" t="s">
        <v>356</v>
      </c>
      <c r="AF238" s="17" t="s">
        <v>356</v>
      </c>
      <c r="AG238" s="8" t="s">
        <v>356</v>
      </c>
      <c r="AH238" s="15" t="s">
        <v>356</v>
      </c>
      <c r="AI238" s="28" t="s">
        <v>130</v>
      </c>
      <c r="AJ238" s="40">
        <v>1</v>
      </c>
    </row>
    <row r="239" spans="1:36" ht="45" x14ac:dyDescent="0.25">
      <c r="A239" t="s">
        <v>353</v>
      </c>
      <c r="B239" s="34" t="s">
        <v>422</v>
      </c>
      <c r="C239" s="34" t="s">
        <v>425</v>
      </c>
      <c r="D239" s="32" t="str">
        <f t="shared" si="3"/>
        <v>Major household appliance manufacturing (33522)</v>
      </c>
      <c r="E239" s="37" t="str" cm="1">
        <f t="array" aca="1" ref="E239" ca="1">MID(C239,FIND("(",C239,LOOKUP(2,1/(MID(C239,ROW(INDIRECT("1:"&amp;LEN(C239))),1)="("),ROW(INDIRECT("1:"&amp;LEN(C239)))))+1,FIND(")",C239,LOOKUP(2,1/(MID(C239,ROW(INDIRECT("1:"&amp;LEN(C239))),1)="("),ROW(INDIRECT("1:"&amp;LEN(C239)))))-FIND("(",C239,LOOKUP(2,1/(MID(C239,ROW(INDIRECT("1:"&amp;LEN(C239))),1)="("),ROW(INDIRECT("1:"&amp;LEN(C239)))))-1)</f>
        <v>33522</v>
      </c>
      <c r="F239" s="37"/>
      <c r="G239" s="37"/>
      <c r="H239" s="37"/>
      <c r="I239" s="37"/>
      <c r="J239" s="37"/>
      <c r="K239" s="37"/>
      <c r="L239" s="27" t="s">
        <v>41</v>
      </c>
      <c r="M239" s="2" t="s">
        <v>41</v>
      </c>
      <c r="N239" s="2" t="s">
        <v>41</v>
      </c>
      <c r="O239" s="2" t="s">
        <v>41</v>
      </c>
      <c r="P239" s="2" t="s">
        <v>41</v>
      </c>
      <c r="Q239" s="2" t="s">
        <v>41</v>
      </c>
      <c r="R239" s="2" t="s">
        <v>41</v>
      </c>
      <c r="S239" s="2" t="s">
        <v>41</v>
      </c>
      <c r="T239" s="2" t="s">
        <v>41</v>
      </c>
      <c r="U239" s="2" t="s">
        <v>41</v>
      </c>
      <c r="V239" s="2" t="s">
        <v>41</v>
      </c>
      <c r="W239" s="29" t="s">
        <v>41</v>
      </c>
      <c r="X239" s="2" t="s">
        <v>166</v>
      </c>
      <c r="Y239" s="2" t="s">
        <v>166</v>
      </c>
      <c r="Z239" s="2" t="s">
        <v>166</v>
      </c>
      <c r="AA239" s="2" t="s">
        <v>166</v>
      </c>
      <c r="AB239" s="2" t="s">
        <v>166</v>
      </c>
      <c r="AC239" s="2" t="s">
        <v>166</v>
      </c>
      <c r="AD239" s="2" t="s">
        <v>166</v>
      </c>
      <c r="AE239" s="2" t="s">
        <v>166</v>
      </c>
      <c r="AF239" s="17" t="s">
        <v>356</v>
      </c>
      <c r="AG239" s="8" t="s">
        <v>356</v>
      </c>
      <c r="AH239" s="15" t="s">
        <v>356</v>
      </c>
      <c r="AI239" s="28" t="s">
        <v>130</v>
      </c>
      <c r="AJ239" s="40">
        <v>1</v>
      </c>
    </row>
    <row r="240" spans="1:36" ht="45" x14ac:dyDescent="0.25">
      <c r="A240" t="s">
        <v>353</v>
      </c>
      <c r="B240" s="34" t="s">
        <v>422</v>
      </c>
      <c r="C240" s="34" t="s">
        <v>426</v>
      </c>
      <c r="D240" s="32" t="str">
        <f t="shared" si="3"/>
        <v>All other electrical equipment and component manufacturing (in 335)</v>
      </c>
      <c r="E240" s="37" t="str" cm="1">
        <f t="array" aca="1" ref="E240" ca="1">MID(C240,FIND("(",C240,LOOKUP(2,1/(MID(C240,ROW(INDIRECT("1:"&amp;LEN(C240))),1)="("),ROW(INDIRECT("1:"&amp;LEN(C240)))))+1,FIND(")",C240,LOOKUP(2,1/(MID(C240,ROW(INDIRECT("1:"&amp;LEN(C240))),1)="("),ROW(INDIRECT("1:"&amp;LEN(C240)))))-FIND("(",C240,LOOKUP(2,1/(MID(C240,ROW(INDIRECT("1:"&amp;LEN(C240))),1)="("),ROW(INDIRECT("1:"&amp;LEN(C240)))))-1)</f>
        <v>in 335</v>
      </c>
      <c r="F240" s="37" t="s">
        <v>427</v>
      </c>
      <c r="G240" s="37"/>
      <c r="H240" s="37"/>
      <c r="I240" s="37" t="s">
        <v>449</v>
      </c>
      <c r="J240" s="37"/>
      <c r="K240" s="37"/>
      <c r="L240" s="27" t="s">
        <v>41</v>
      </c>
      <c r="M240" s="2" t="s">
        <v>41</v>
      </c>
      <c r="N240" s="2" t="s">
        <v>41</v>
      </c>
      <c r="O240" s="2" t="s">
        <v>41</v>
      </c>
      <c r="P240" s="2" t="s">
        <v>41</v>
      </c>
      <c r="Q240" s="2" t="s">
        <v>41</v>
      </c>
      <c r="R240" s="2" t="s">
        <v>41</v>
      </c>
      <c r="S240" s="2" t="s">
        <v>41</v>
      </c>
      <c r="T240" s="2" t="s">
        <v>41</v>
      </c>
      <c r="U240" s="2" t="s">
        <v>41</v>
      </c>
      <c r="V240" s="2" t="s">
        <v>41</v>
      </c>
      <c r="W240" s="29" t="s">
        <v>41</v>
      </c>
      <c r="X240" s="2" t="s">
        <v>166</v>
      </c>
      <c r="Y240" s="2" t="s">
        <v>166</v>
      </c>
      <c r="Z240" s="2" t="s">
        <v>166</v>
      </c>
      <c r="AA240" s="2" t="s">
        <v>166</v>
      </c>
      <c r="AB240" s="2" t="s">
        <v>166</v>
      </c>
      <c r="AC240" s="2" t="s">
        <v>166</v>
      </c>
      <c r="AD240" s="2" t="s">
        <v>166</v>
      </c>
      <c r="AE240" s="2" t="s">
        <v>166</v>
      </c>
      <c r="AF240" s="17" t="s">
        <v>356</v>
      </c>
      <c r="AG240" s="8" t="s">
        <v>356</v>
      </c>
      <c r="AH240" s="15" t="s">
        <v>356</v>
      </c>
      <c r="AI240" s="28" t="s">
        <v>130</v>
      </c>
      <c r="AJ240" s="40">
        <v>3</v>
      </c>
    </row>
    <row r="241" spans="1:36" ht="33" x14ac:dyDescent="0.25">
      <c r="A241" t="s">
        <v>353</v>
      </c>
      <c r="B241" s="34" t="s">
        <v>428</v>
      </c>
      <c r="C241" s="34" t="s">
        <v>429</v>
      </c>
      <c r="D241" s="32" t="str">
        <f t="shared" si="3"/>
        <v>Transportation equipment manufacturing (336)</v>
      </c>
      <c r="E241" s="37" t="str" cm="1">
        <f t="array" aca="1" ref="E241" ca="1">MID(C241,FIND("(",C241,LOOKUP(2,1/(MID(C241,ROW(INDIRECT("1:"&amp;LEN(C241))),1)="("),ROW(INDIRECT("1:"&amp;LEN(C241)))))+1,FIND(")",C241,LOOKUP(2,1/(MID(C241,ROW(INDIRECT("1:"&amp;LEN(C241))),1)="("),ROW(INDIRECT("1:"&amp;LEN(C241)))))-FIND("(",C241,LOOKUP(2,1/(MID(C241,ROW(INDIRECT("1:"&amp;LEN(C241))),1)="("),ROW(INDIRECT("1:"&amp;LEN(C241)))))-1)</f>
        <v>336</v>
      </c>
      <c r="F241" s="37"/>
      <c r="G241" s="37"/>
      <c r="H241" s="37"/>
      <c r="I241" s="37"/>
      <c r="J241" s="37"/>
      <c r="K241" s="37"/>
      <c r="L241" s="27" t="s">
        <v>41</v>
      </c>
      <c r="M241" s="2" t="s">
        <v>41</v>
      </c>
      <c r="N241" s="2" t="s">
        <v>41</v>
      </c>
      <c r="O241" s="2" t="s">
        <v>41</v>
      </c>
      <c r="P241" s="2" t="s">
        <v>41</v>
      </c>
      <c r="Q241" s="2" t="s">
        <v>41</v>
      </c>
      <c r="R241" s="2" t="s">
        <v>41</v>
      </c>
      <c r="S241" s="2" t="s">
        <v>41</v>
      </c>
      <c r="T241" s="2" t="s">
        <v>41</v>
      </c>
      <c r="U241" s="2" t="s">
        <v>41</v>
      </c>
      <c r="V241" s="2" t="s">
        <v>41</v>
      </c>
      <c r="W241" s="29" t="s">
        <v>41</v>
      </c>
      <c r="X241" s="2" t="s">
        <v>41</v>
      </c>
      <c r="Y241" s="2" t="s">
        <v>41</v>
      </c>
      <c r="Z241" s="2" t="s">
        <v>41</v>
      </c>
      <c r="AA241" s="2" t="s">
        <v>41</v>
      </c>
      <c r="AB241" s="2" t="s">
        <v>41</v>
      </c>
      <c r="AC241" s="2" t="s">
        <v>41</v>
      </c>
      <c r="AD241" s="2" t="s">
        <v>41</v>
      </c>
      <c r="AE241" s="2" t="s">
        <v>41</v>
      </c>
      <c r="AF241" s="17" t="s">
        <v>356</v>
      </c>
      <c r="AG241" s="8" t="s">
        <v>356</v>
      </c>
      <c r="AH241" s="15" t="s">
        <v>356</v>
      </c>
      <c r="AI241" s="28" t="s">
        <v>130</v>
      </c>
      <c r="AJ241" s="40">
        <v>1</v>
      </c>
    </row>
    <row r="242" spans="1:36" ht="33" x14ac:dyDescent="0.25">
      <c r="A242" t="s">
        <v>353</v>
      </c>
      <c r="B242" s="34" t="s">
        <v>430</v>
      </c>
      <c r="C242" s="34" t="s">
        <v>431</v>
      </c>
      <c r="D242" s="32" t="str">
        <f t="shared" si="3"/>
        <v>Furniture and related product manufacturing (337)</v>
      </c>
      <c r="E242" s="37" t="str" cm="1">
        <f t="array" aca="1" ref="E242" ca="1">MID(C242,FIND("(",C242,LOOKUP(2,1/(MID(C242,ROW(INDIRECT("1:"&amp;LEN(C242))),1)="("),ROW(INDIRECT("1:"&amp;LEN(C242)))))+1,FIND(")",C242,LOOKUP(2,1/(MID(C242,ROW(INDIRECT("1:"&amp;LEN(C242))),1)="("),ROW(INDIRECT("1:"&amp;LEN(C242)))))-FIND("(",C242,LOOKUP(2,1/(MID(C242,ROW(INDIRECT("1:"&amp;LEN(C242))),1)="("),ROW(INDIRECT("1:"&amp;LEN(C242)))))-1)</f>
        <v>337</v>
      </c>
      <c r="F242" s="37"/>
      <c r="G242" s="37"/>
      <c r="H242" s="37"/>
      <c r="I242" s="37"/>
      <c r="J242" s="37"/>
      <c r="K242" s="37"/>
      <c r="L242" s="27" t="s">
        <v>41</v>
      </c>
      <c r="M242" s="2" t="s">
        <v>41</v>
      </c>
      <c r="N242" s="2" t="s">
        <v>41</v>
      </c>
      <c r="O242" s="2" t="s">
        <v>41</v>
      </c>
      <c r="P242" s="2" t="s">
        <v>41</v>
      </c>
      <c r="Q242" s="2" t="s">
        <v>41</v>
      </c>
      <c r="R242" s="2" t="s">
        <v>41</v>
      </c>
      <c r="S242" s="2" t="s">
        <v>41</v>
      </c>
      <c r="T242" s="2" t="s">
        <v>41</v>
      </c>
      <c r="U242" s="2" t="s">
        <v>41</v>
      </c>
      <c r="V242" s="2" t="s">
        <v>41</v>
      </c>
      <c r="W242" s="29" t="s">
        <v>41</v>
      </c>
      <c r="X242" s="8" t="s">
        <v>360</v>
      </c>
      <c r="Y242" s="8" t="s">
        <v>360</v>
      </c>
      <c r="Z242" s="2" t="s">
        <v>41</v>
      </c>
      <c r="AA242" s="8" t="s">
        <v>360</v>
      </c>
      <c r="AB242" s="8" t="s">
        <v>360</v>
      </c>
      <c r="AC242" s="8" t="s">
        <v>360</v>
      </c>
      <c r="AD242" s="8" t="s">
        <v>360</v>
      </c>
      <c r="AE242" s="8" t="s">
        <v>356</v>
      </c>
      <c r="AF242" s="17" t="s">
        <v>356</v>
      </c>
      <c r="AG242" s="8" t="s">
        <v>356</v>
      </c>
      <c r="AH242" s="15" t="s">
        <v>356</v>
      </c>
      <c r="AI242" s="28" t="s">
        <v>130</v>
      </c>
      <c r="AJ242" s="40">
        <v>1</v>
      </c>
    </row>
    <row r="243" spans="1:36" ht="33" x14ac:dyDescent="0.25">
      <c r="A243" t="s">
        <v>353</v>
      </c>
      <c r="B243" s="34" t="s">
        <v>432</v>
      </c>
      <c r="C243" s="34" t="s">
        <v>433</v>
      </c>
      <c r="D243" s="32" t="str">
        <f t="shared" si="3"/>
        <v>Medical equipment and supplies manufacturing (3391)</v>
      </c>
      <c r="E243" s="37" t="str" cm="1">
        <f t="array" aca="1" ref="E243" ca="1">MID(C243,FIND("(",C243,LOOKUP(2,1/(MID(C243,ROW(INDIRECT("1:"&amp;LEN(C243))),1)="("),ROW(INDIRECT("1:"&amp;LEN(C243)))))+1,FIND(")",C243,LOOKUP(2,1/(MID(C243,ROW(INDIRECT("1:"&amp;LEN(C243))),1)="("),ROW(INDIRECT("1:"&amp;LEN(C243)))))-FIND("(",C243,LOOKUP(2,1/(MID(C243,ROW(INDIRECT("1:"&amp;LEN(C243))),1)="("),ROW(INDIRECT("1:"&amp;LEN(C243)))))-1)</f>
        <v>3391</v>
      </c>
      <c r="F243" s="37"/>
      <c r="G243" s="37"/>
      <c r="H243" s="37"/>
      <c r="I243" s="37"/>
      <c r="J243" s="37"/>
      <c r="K243" s="37"/>
      <c r="L243" s="27" t="s">
        <v>41</v>
      </c>
      <c r="M243" s="2" t="s">
        <v>41</v>
      </c>
      <c r="N243" s="2" t="s">
        <v>41</v>
      </c>
      <c r="O243" s="2" t="s">
        <v>41</v>
      </c>
      <c r="P243" s="2" t="s">
        <v>41</v>
      </c>
      <c r="Q243" s="2" t="s">
        <v>41</v>
      </c>
      <c r="R243" s="2" t="s">
        <v>41</v>
      </c>
      <c r="S243" s="2" t="s">
        <v>41</v>
      </c>
      <c r="T243" s="2" t="s">
        <v>41</v>
      </c>
      <c r="U243" s="2" t="s">
        <v>41</v>
      </c>
      <c r="V243" s="2" t="s">
        <v>41</v>
      </c>
      <c r="W243" s="29" t="s">
        <v>41</v>
      </c>
      <c r="X243" s="8" t="s">
        <v>360</v>
      </c>
      <c r="Y243" s="8" t="s">
        <v>360</v>
      </c>
      <c r="Z243" s="2" t="s">
        <v>41</v>
      </c>
      <c r="AA243" s="8" t="s">
        <v>360</v>
      </c>
      <c r="AB243" s="8" t="s">
        <v>360</v>
      </c>
      <c r="AC243" s="8" t="s">
        <v>360</v>
      </c>
      <c r="AD243" s="8" t="s">
        <v>360</v>
      </c>
      <c r="AE243" s="8" t="s">
        <v>356</v>
      </c>
      <c r="AF243" s="17" t="s">
        <v>356</v>
      </c>
      <c r="AG243" s="8" t="s">
        <v>356</v>
      </c>
      <c r="AH243" s="15" t="s">
        <v>356</v>
      </c>
      <c r="AI243" s="28" t="s">
        <v>130</v>
      </c>
      <c r="AJ243" s="40">
        <v>1</v>
      </c>
    </row>
    <row r="244" spans="1:36" ht="33" x14ac:dyDescent="0.25">
      <c r="A244" t="s">
        <v>353</v>
      </c>
      <c r="B244" s="34" t="s">
        <v>432</v>
      </c>
      <c r="C244" s="34" t="s">
        <v>434</v>
      </c>
      <c r="D244" s="32" t="str">
        <f t="shared" si="3"/>
        <v>Other miscellaneous manufacturing (3399)</v>
      </c>
      <c r="E244" s="37" t="str" cm="1">
        <f t="array" aca="1" ref="E244" ca="1">MID(C244,FIND("(",C244,LOOKUP(2,1/(MID(C244,ROW(INDIRECT("1:"&amp;LEN(C244))),1)="("),ROW(INDIRECT("1:"&amp;LEN(C244)))))+1,FIND(")",C244,LOOKUP(2,1/(MID(C244,ROW(INDIRECT("1:"&amp;LEN(C244))),1)="("),ROW(INDIRECT("1:"&amp;LEN(C244)))))-FIND("(",C244,LOOKUP(2,1/(MID(C244,ROW(INDIRECT("1:"&amp;LEN(C244))),1)="("),ROW(INDIRECT("1:"&amp;LEN(C244)))))-1)</f>
        <v>3399</v>
      </c>
      <c r="F244" s="37"/>
      <c r="G244" s="37"/>
      <c r="H244" s="37"/>
      <c r="I244" s="37"/>
      <c r="J244" s="37"/>
      <c r="K244" s="37"/>
      <c r="L244" s="27" t="s">
        <v>41</v>
      </c>
      <c r="M244" s="2" t="s">
        <v>41</v>
      </c>
      <c r="N244" s="2" t="s">
        <v>41</v>
      </c>
      <c r="O244" s="2" t="s">
        <v>41</v>
      </c>
      <c r="P244" s="2" t="s">
        <v>41</v>
      </c>
      <c r="Q244" s="2" t="s">
        <v>41</v>
      </c>
      <c r="R244" s="2" t="s">
        <v>41</v>
      </c>
      <c r="S244" s="2" t="s">
        <v>41</v>
      </c>
      <c r="T244" s="2" t="s">
        <v>41</v>
      </c>
      <c r="U244" s="2" t="s">
        <v>41</v>
      </c>
      <c r="V244" s="2" t="s">
        <v>41</v>
      </c>
      <c r="W244" s="29" t="s">
        <v>41</v>
      </c>
      <c r="X244" s="8" t="s">
        <v>360</v>
      </c>
      <c r="Y244" s="8" t="s">
        <v>360</v>
      </c>
      <c r="Z244" s="2" t="s">
        <v>41</v>
      </c>
      <c r="AA244" s="8" t="s">
        <v>360</v>
      </c>
      <c r="AB244" s="8" t="s">
        <v>360</v>
      </c>
      <c r="AC244" s="8" t="s">
        <v>360</v>
      </c>
      <c r="AD244" s="8" t="s">
        <v>360</v>
      </c>
      <c r="AE244" s="8" t="s">
        <v>356</v>
      </c>
      <c r="AF244" s="17" t="s">
        <v>356</v>
      </c>
      <c r="AG244" s="8" t="s">
        <v>356</v>
      </c>
      <c r="AH244" s="15" t="s">
        <v>356</v>
      </c>
      <c r="AI244" s="28" t="s">
        <v>130</v>
      </c>
      <c r="AJ244" s="40">
        <v>1</v>
      </c>
    </row>
  </sheetData>
  <phoneticPr fontId="2" type="noConversion"/>
  <hyperlinks>
    <hyperlink ref="K180" r:id="rId1" location="12-10" display="https://zr.planning.nyc.gov/article-i/chapter-2#12-10" xr:uid="{B49153F7-A902-45C7-B6E2-03D9CDE5FB83}"/>
    <hyperlink ref="K194" r:id="rId2" location="12-10" display="https://zr.planning.nyc.gov/article-i/chapter-2#12-10" xr:uid="{80268D6C-40C0-4DC9-B429-2CE028CF3FBC}"/>
    <hyperlink ref="K196" r:id="rId3" location="12-10" display="https://zr.planning.nyc.gov/article-i/chapter-2#12-10" xr:uid="{3604A234-D9D7-4312-B175-B52FC2B2235B}"/>
    <hyperlink ref="K144" r:id="rId4" location="12-10" display="https://zr.planning.nyc.gov/article-i/chapter-2#12-10" xr:uid="{55814B34-C655-4F14-862B-551A5076E00E}"/>
    <hyperlink ref="K155" r:id="rId5" location="12-10" display="https://zr.planning.nyc.gov/article-i/chapter-2#12-10" xr:uid="{8E21CFDE-3EDB-4494-A6DF-4DB265DCEEBA}"/>
    <hyperlink ref="K156" r:id="rId6" location="12-10" display="https://zr.planning.nyc.gov/article-i/chapter-2#12-10" xr:uid="{1EAA61C2-1851-444D-ACB7-CC688FFC5E3C}"/>
    <hyperlink ref="K157" r:id="rId7" location="12-10" display="https://zr.planning.nyc.gov/article-i/chapter-2#12-10" xr:uid="{2FD13ADB-E236-4104-8DF2-6A635000DE1B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Carper (DCP)</dc:creator>
  <cp:keywords/>
  <dc:description/>
  <cp:lastModifiedBy>Michael Carper (DCP)</cp:lastModifiedBy>
  <cp:revision/>
  <dcterms:created xsi:type="dcterms:W3CDTF">2025-03-19T17:44:51Z</dcterms:created>
  <dcterms:modified xsi:type="dcterms:W3CDTF">2026-05-05T16:43:54Z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2025-03-20T18:13:08Z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0526ae56-ef48-4b65-8d9d-a4e304f9b4ba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